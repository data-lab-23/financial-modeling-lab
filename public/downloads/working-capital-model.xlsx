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使い方" state="visible" r:id="rId4"/>
    <sheet sheetId="2" name="01_前提条件" state="visible" r:id="rId5"/>
    <sheet sheetId="3" name="02_売掛金" state="visible" r:id="rId6"/>
    <sheet sheetId="4" name="03_棚卸資産" state="visible" r:id="rId7"/>
    <sheet sheetId="5" name="04_買掛金" state="visible" r:id="rId8"/>
    <sheet sheetId="6" name="05_運転資本" state="visible" r:id="rId9"/>
    <sheet sheetId="7" name="06_CCC分析" state="visible" r:id="rId10"/>
    <sheet sheetId="8" name="07_チェック" state="visible" r:id="rId11"/>
  </sheets>
  <definedNames>
    <definedName name="_xlnm.Print_Area" localSheetId="0">'00_使い方'!$A1:$C12</definedName>
    <definedName name="_xlnm.Print_Area" localSheetId="1">'01_前提条件'!$A1:$E11</definedName>
    <definedName name="_xlnm.Print_Area" localSheetId="2">'02_売掛金'!$A1:$E10</definedName>
    <definedName name="_xlnm.Print_Area" localSheetId="3">'03_棚卸資産'!$A1:$E10</definedName>
    <definedName name="_xlnm.Print_Area" localSheetId="4">'04_買掛金'!$A1:$E10</definedName>
    <definedName name="_xlnm.Print_Area" localSheetId="5">'05_運転資本'!$A1:$E11</definedName>
    <definedName name="_xlnm.Print_Area" localSheetId="6">'06_CCC分析'!$A1:$E11</definedName>
    <definedName name="_xlnm.Print_Area" localSheetId="7">'07_チェック'!$A1:$D10</definedName>
  </definedNames>
  <calcPr calcId="171027" fullCalcOnLoad="1"/>
</workbook>
</file>

<file path=xl/sharedStrings.xml><?xml version="1.0" encoding="utf-8"?>
<sst xmlns="http://schemas.openxmlformats.org/spreadsheetml/2006/main" count="128" uniqueCount="74">
  <si>
    <t>運転資本モデル</t>
  </si>
  <si>
    <t>東都パーツ株式会社｜単位：百万円</t>
  </si>
  <si>
    <t>手順</t>
  </si>
  <si>
    <t>内容</t>
  </si>
  <si>
    <t>確認事項</t>
  </si>
  <si>
    <t>1</t>
  </si>
  <si>
    <t>01_前提条件に売上高、売上原価、回転日数を入力</t>
  </si>
  <si>
    <t>青字セルのみ入力</t>
  </si>
  <si>
    <t>2</t>
  </si>
  <si>
    <t>売掛金、棚卸資産、買掛金の計算結果を確認</t>
  </si>
  <si>
    <t>緑字は別シート参照</t>
  </si>
  <si>
    <t>3</t>
  </si>
  <si>
    <t>05_運転資本で前期差とCF影響を確認</t>
  </si>
  <si>
    <t>運転資本増加はCFマイナス</t>
  </si>
  <si>
    <t>4</t>
  </si>
  <si>
    <t>07_チェックがすべて0であることを確認</t>
  </si>
  <si>
    <t>差額が残る場合は提出不可</t>
  </si>
  <si>
    <t>利用条件</t>
  </si>
  <si>
    <t>教育目的・実案件への利用不可</t>
  </si>
  <si>
    <t>前提条件</t>
  </si>
  <si>
    <t>実績と予測を同じ定義で並べます。</t>
  </si>
  <si>
    <t>項目</t>
  </si>
  <si>
    <t>2026/3期 実績</t>
  </si>
  <si>
    <t>2027/3期 予測</t>
  </si>
  <si>
    <t>単位</t>
  </si>
  <si>
    <t>出所・判断</t>
  </si>
  <si>
    <t>売上高</t>
  </si>
  <si>
    <t>百万円</t>
  </si>
  <si>
    <t>事業計画</t>
  </si>
  <si>
    <t>売上原価</t>
  </si>
  <si>
    <t>売掛金回収日数</t>
  </si>
  <si>
    <t>日</t>
  </si>
  <si>
    <t>回収条件・滞留分析</t>
  </si>
  <si>
    <t>在庫回転日数</t>
  </si>
  <si>
    <t>在庫計画</t>
  </si>
  <si>
    <t>買掛金支払日数</t>
  </si>
  <si>
    <t>仕入条件</t>
  </si>
  <si>
    <t>年間日数</t>
  </si>
  <si>
    <t>365日固定</t>
  </si>
  <si>
    <t>売掛金</t>
  </si>
  <si>
    <t>売上高と回収日数から期末残高を計算します。</t>
  </si>
  <si>
    <t>計算根拠</t>
  </si>
  <si>
    <t>01_前提条件</t>
  </si>
  <si>
    <t>回収日数</t>
  </si>
  <si>
    <t>売上高÷365日×回収日数</t>
  </si>
  <si>
    <t>棚卸資産</t>
  </si>
  <si>
    <t>売上原価と在庫回転日数から期末残高を計算します。</t>
  </si>
  <si>
    <t>売上原価÷365日×在庫回転日数</t>
  </si>
  <si>
    <t>買掛金</t>
  </si>
  <si>
    <t>売上原価と支払日数から期末残高を計算します。</t>
  </si>
  <si>
    <t>支払日数</t>
  </si>
  <si>
    <t>売上原価÷365日×支払日数</t>
  </si>
  <si>
    <t>正味運転資本</t>
  </si>
  <si>
    <t>三勘定を集約し、前期差をキャッシュ・フローへ接続します。</t>
  </si>
  <si>
    <t>増減</t>
  </si>
  <si>
    <t>CF影響</t>
  </si>
  <si>
    <t>CCC分析</t>
  </si>
  <si>
    <t>回収・在庫・支払の三要素を日数で比較します。</t>
  </si>
  <si>
    <t>読み方</t>
  </si>
  <si>
    <t>短いほど回収が早い</t>
  </si>
  <si>
    <t>短いほど在庫効率が高い</t>
  </si>
  <si>
    <t>長いほど支払いまでの期間が長い</t>
  </si>
  <si>
    <t>CCC</t>
  </si>
  <si>
    <t>長期化は運転資金負担の増加を示す</t>
  </si>
  <si>
    <t>モデルチェック</t>
  </si>
  <si>
    <t>差額が0であることを確認します。</t>
  </si>
  <si>
    <t>確認項目</t>
  </si>
  <si>
    <t>期待値</t>
  </si>
  <si>
    <t>差額</t>
  </si>
  <si>
    <t>判定</t>
  </si>
  <si>
    <t>売掛金計算</t>
  </si>
  <si>
    <t>棚卸資産計算</t>
  </si>
  <si>
    <t>買掛金計算</t>
  </si>
  <si>
    <t>CF影響符号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</si>
</sst>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&quot;日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07080"/>
    </font>
    <font>
      <b/>
      <color rgb="FFFFFFFF"/>
    </font>
    <font>
      <color rgb="FF0000FF"/>
    </font>
    <font>
      <color rgb="FF008000"/>
    </font>
    <font>
      <color rgb="FF000000"/>
    </font>
  </fonts>
  <fills count="6">
    <fill>
      <patternFill patternType="none"/>
    </fill>
    <fill>
      <patternFill patternType="gray125"/>
    </fill>
    <fill>
      <patternFill patternType="solid">
        <fgColor rgb="FF102235"/>
      </patternFill>
    </fill>
    <fill>
      <patternFill patternType="solid">
        <fgColor rgb="FF147D73"/>
      </patternFill>
    </fill>
    <fill>
      <patternFill patternType="solid">
        <fgColor rgb="FFEAF3F8"/>
      </patternFill>
    </fill>
    <fill>
      <patternFill patternType="solid">
        <fgColor rgb="FFFFF4CC"/>
      </patternFill>
    </fill>
  </fills>
  <borders count="2">
    <border>
      <left/>
      <right/>
      <top/>
      <bottom/>
      <diagonal/>
    </border>
    <border>
      <left/>
      <right/>
      <top/>
      <bottom style="hair">
        <color rgb="FFD8E0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165" fontId="6" fillId="0" borderId="1" xfId="0" applyNumberFormat="1" applyFont="1" applyBorder="1" applyAlignment="1">
      <alignment vertical="center" wrapText="1"/>
    </xf>
    <xf numFmtId="164" fontId="6" fillId="5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3" topLeftCell="B4" activePane="bottomRight" state="frozen"/>
      <selection pane="bottomRight"/>
    </sheetView>
  </sheetViews>
  <sheetFormatPr defaultRowHeight="18" outlineLevelRow="0" outlineLevelCol="0" x14ac:dyDescent="55" customHeight="1"/>
  <cols>
    <col min="1" max="1" width="27" customWidth="1"/>
    <col min="2" max="6" width="1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/>
      <c r="C2" s="3"/>
      <c r="D2" s="3"/>
      <c r="E2" s="3"/>
      <c r="F2" s="3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4" t="s">
        <v>2</v>
      </c>
      <c r="B4" s="4" t="s">
        <v>3</v>
      </c>
      <c r="C4" s="4" t="s">
        <v>4</v>
      </c>
      <c r="D4" s="3"/>
      <c r="E4" s="3"/>
      <c r="F4" s="3"/>
    </row>
    <row r="5" spans="1:6" x14ac:dyDescent="0.25">
      <c r="A5" s="3" t="s">
        <v>5</v>
      </c>
      <c r="B5" s="3" t="s">
        <v>6</v>
      </c>
      <c r="C5" s="3" t="s">
        <v>7</v>
      </c>
      <c r="D5" s="3"/>
      <c r="E5" s="3"/>
      <c r="F5" s="3"/>
    </row>
    <row r="6" spans="1:6" x14ac:dyDescent="0.25">
      <c r="A6" s="3" t="s">
        <v>8</v>
      </c>
      <c r="B6" s="3" t="s">
        <v>9</v>
      </c>
      <c r="C6" s="3" t="s">
        <v>10</v>
      </c>
      <c r="D6" s="3"/>
      <c r="E6" s="3"/>
      <c r="F6" s="3"/>
    </row>
    <row r="7" spans="1:6" x14ac:dyDescent="0.25">
      <c r="A7" s="3" t="s">
        <v>11</v>
      </c>
      <c r="B7" s="3" t="s">
        <v>12</v>
      </c>
      <c r="C7" s="3" t="s">
        <v>13</v>
      </c>
      <c r="D7" s="3"/>
      <c r="E7" s="3"/>
      <c r="F7" s="3"/>
    </row>
    <row r="8" spans="1:6" x14ac:dyDescent="0.25">
      <c r="A8" s="3" t="s">
        <v>14</v>
      </c>
      <c r="B8" s="3" t="s">
        <v>15</v>
      </c>
      <c r="C8" s="3" t="s">
        <v>16</v>
      </c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 t="s">
        <v>17</v>
      </c>
      <c r="B11" s="3" t="s">
        <v>18</v>
      </c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</sheetData>
  <mergeCells count="1">
    <mergeCell ref="A1:F1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3" topLeftCell="B4" activePane="bottomRight" state="frozen"/>
      <selection pane="bottomRight"/>
    </sheetView>
  </sheetViews>
  <sheetFormatPr defaultRowHeight="18" outlineLevelRow="0" outlineLevelCol="0" x14ac:dyDescent="55" customHeight="1"/>
  <cols>
    <col min="1" max="1" width="27" customWidth="1"/>
    <col min="2" max="6" width="18" customWidth="1"/>
  </cols>
  <sheetData>
    <row r="1" spans="1:6" x14ac:dyDescent="0.25">
      <c r="A1" s="1" t="s">
        <v>19</v>
      </c>
      <c r="B1" s="1"/>
      <c r="C1" s="1"/>
      <c r="D1" s="1"/>
      <c r="E1" s="1"/>
      <c r="F1" s="1"/>
    </row>
    <row r="2" spans="1:6" x14ac:dyDescent="0.25">
      <c r="A2" s="2" t="s">
        <v>20</v>
      </c>
      <c r="B2" s="3"/>
      <c r="C2" s="3"/>
      <c r="D2" s="3"/>
      <c r="E2" s="3"/>
      <c r="F2" s="3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3"/>
    </row>
    <row r="5" spans="1:6" x14ac:dyDescent="0.25">
      <c r="A5" s="3" t="s">
        <v>26</v>
      </c>
      <c r="B5" s="5">
        <v>1200</v>
      </c>
      <c r="C5" s="5">
        <v>1320</v>
      </c>
      <c r="D5" s="3" t="s">
        <v>27</v>
      </c>
      <c r="E5" s="3" t="s">
        <v>28</v>
      </c>
      <c r="F5" s="3"/>
    </row>
    <row r="6" spans="1:6" x14ac:dyDescent="0.25">
      <c r="A6" s="3" t="s">
        <v>29</v>
      </c>
      <c r="B6" s="5">
        <v>720</v>
      </c>
      <c r="C6" s="5">
        <v>792</v>
      </c>
      <c r="D6" s="3" t="s">
        <v>27</v>
      </c>
      <c r="E6" s="3" t="s">
        <v>28</v>
      </c>
      <c r="F6" s="3"/>
    </row>
    <row r="7" spans="1:6" x14ac:dyDescent="0.25">
      <c r="A7" s="3" t="s">
        <v>30</v>
      </c>
      <c r="B7" s="5">
        <v>45</v>
      </c>
      <c r="C7" s="5">
        <v>50</v>
      </c>
      <c r="D7" s="3" t="s">
        <v>31</v>
      </c>
      <c r="E7" s="3" t="s">
        <v>32</v>
      </c>
      <c r="F7" s="3"/>
    </row>
    <row r="8" spans="1:6" x14ac:dyDescent="0.25">
      <c r="A8" s="3" t="s">
        <v>33</v>
      </c>
      <c r="B8" s="5">
        <v>60</v>
      </c>
      <c r="C8" s="5">
        <v>65</v>
      </c>
      <c r="D8" s="3" t="s">
        <v>31</v>
      </c>
      <c r="E8" s="3" t="s">
        <v>34</v>
      </c>
      <c r="F8" s="3"/>
    </row>
    <row r="9" spans="1:6" x14ac:dyDescent="0.25">
      <c r="A9" s="3" t="s">
        <v>35</v>
      </c>
      <c r="B9" s="5">
        <v>35</v>
      </c>
      <c r="C9" s="5">
        <v>40</v>
      </c>
      <c r="D9" s="3" t="s">
        <v>31</v>
      </c>
      <c r="E9" s="3" t="s">
        <v>36</v>
      </c>
      <c r="F9" s="3"/>
    </row>
    <row r="10" spans="1:6" x14ac:dyDescent="0.25">
      <c r="A10" s="3" t="s">
        <v>37</v>
      </c>
      <c r="B10" s="5">
        <v>365</v>
      </c>
      <c r="C10" s="5">
        <v>365</v>
      </c>
      <c r="D10" s="3" t="s">
        <v>31</v>
      </c>
      <c r="E10" s="3" t="s">
        <v>38</v>
      </c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</sheetData>
  <mergeCells count="1">
    <mergeCell ref="A1:F1"/>
  </mergeCell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3" topLeftCell="B4" activePane="bottomRight" state="frozen"/>
      <selection pane="bottomRight"/>
    </sheetView>
  </sheetViews>
  <sheetFormatPr defaultRowHeight="18" outlineLevelRow="0" outlineLevelCol="0" x14ac:dyDescent="55" customHeight="1"/>
  <cols>
    <col min="1" max="1" width="27" customWidth="1"/>
    <col min="2" max="6" width="18" customWidth="1"/>
  </cols>
  <sheetData>
    <row r="1" spans="1:6" x14ac:dyDescent="0.25">
      <c r="A1" s="1" t="s">
        <v>39</v>
      </c>
      <c r="B1" s="1"/>
      <c r="C1" s="1"/>
      <c r="D1" s="1"/>
      <c r="E1" s="1"/>
      <c r="F1" s="1"/>
    </row>
    <row r="2" spans="1:6" x14ac:dyDescent="0.25">
      <c r="A2" s="2" t="s">
        <v>40</v>
      </c>
      <c r="B2" s="3"/>
      <c r="C2" s="3"/>
      <c r="D2" s="3"/>
      <c r="E2" s="3"/>
      <c r="F2" s="3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4" t="s">
        <v>21</v>
      </c>
      <c r="B4" s="4" t="s">
        <v>22</v>
      </c>
      <c r="C4" s="4" t="s">
        <v>23</v>
      </c>
      <c r="D4" s="4" t="s">
        <v>24</v>
      </c>
      <c r="E4" s="4" t="s">
        <v>41</v>
      </c>
      <c r="F4" s="3"/>
    </row>
    <row r="5" spans="1:6" x14ac:dyDescent="0.25">
      <c r="A5" s="3" t="s">
        <v>26</v>
      </c>
      <c r="B5" s="6">
        <v>1200</v>
      </c>
      <c r="C5" s="6">
        <v>1320</v>
      </c>
      <c r="D5" s="3" t="s">
        <v>27</v>
      </c>
      <c r="E5" s="3" t="s">
        <v>42</v>
      </c>
      <c r="F5" s="3"/>
    </row>
    <row r="6" spans="1:6" x14ac:dyDescent="0.25">
      <c r="A6" s="3" t="s">
        <v>43</v>
      </c>
      <c r="B6" s="6">
        <v>45</v>
      </c>
      <c r="C6" s="6">
        <v>50</v>
      </c>
      <c r="D6" s="3" t="s">
        <v>31</v>
      </c>
      <c r="E6" s="3" t="s">
        <v>42</v>
      </c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 t="s">
        <v>39</v>
      </c>
      <c r="B8" s="7">
        <f>'01_前提条件'!B5/'01_前提条件'!B10*'01_前提条件'!B7</f>
        <v>147.94520547945206</v>
      </c>
      <c r="C8" s="7">
        <f>'01_前提条件'!C5/'01_前提条件'!C10*'01_前提条件'!C7</f>
        <v>180.82191780821915</v>
      </c>
      <c r="D8" s="3" t="s">
        <v>27</v>
      </c>
      <c r="E8" s="3" t="s">
        <v>44</v>
      </c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</sheetData>
  <mergeCells count="1">
    <mergeCell ref="A1:F1"/>
  </mergeCell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3" topLeftCell="B4" activePane="bottomRight" state="frozen"/>
      <selection pane="bottomRight"/>
    </sheetView>
  </sheetViews>
  <sheetFormatPr defaultRowHeight="18" outlineLevelRow="0" outlineLevelCol="0" x14ac:dyDescent="55" customHeight="1"/>
  <cols>
    <col min="1" max="1" width="27" customWidth="1"/>
    <col min="2" max="6" width="18" customWidth="1"/>
  </cols>
  <sheetData>
    <row r="1" spans="1:6" x14ac:dyDescent="0.25">
      <c r="A1" s="1" t="s">
        <v>45</v>
      </c>
      <c r="B1" s="1"/>
      <c r="C1" s="1"/>
      <c r="D1" s="1"/>
      <c r="E1" s="1"/>
      <c r="F1" s="1"/>
    </row>
    <row r="2" spans="1:6" x14ac:dyDescent="0.25">
      <c r="A2" s="2" t="s">
        <v>46</v>
      </c>
      <c r="B2" s="3"/>
      <c r="C2" s="3"/>
      <c r="D2" s="3"/>
      <c r="E2" s="3"/>
      <c r="F2" s="3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4" t="s">
        <v>21</v>
      </c>
      <c r="B4" s="4" t="s">
        <v>22</v>
      </c>
      <c r="C4" s="4" t="s">
        <v>23</v>
      </c>
      <c r="D4" s="4" t="s">
        <v>24</v>
      </c>
      <c r="E4" s="4" t="s">
        <v>41</v>
      </c>
      <c r="F4" s="3"/>
    </row>
    <row r="5" spans="1:6" x14ac:dyDescent="0.25">
      <c r="A5" s="3" t="s">
        <v>29</v>
      </c>
      <c r="B5" s="6">
        <v>720</v>
      </c>
      <c r="C5" s="6">
        <v>792</v>
      </c>
      <c r="D5" s="3" t="s">
        <v>27</v>
      </c>
      <c r="E5" s="3" t="s">
        <v>42</v>
      </c>
      <c r="F5" s="3"/>
    </row>
    <row r="6" spans="1:6" x14ac:dyDescent="0.25">
      <c r="A6" s="3" t="s">
        <v>33</v>
      </c>
      <c r="B6" s="6">
        <v>60</v>
      </c>
      <c r="C6" s="6">
        <v>65</v>
      </c>
      <c r="D6" s="3" t="s">
        <v>31</v>
      </c>
      <c r="E6" s="3" t="s">
        <v>42</v>
      </c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 t="s">
        <v>45</v>
      </c>
      <c r="B8" s="7">
        <f>'01_前提条件'!B6/'01_前提条件'!B10*'01_前提条件'!B8</f>
        <v>118.35616438356163</v>
      </c>
      <c r="C8" s="7">
        <f>'01_前提条件'!C6/'01_前提条件'!C10*'01_前提条件'!C8</f>
        <v>141.04109589041096</v>
      </c>
      <c r="D8" s="3" t="s">
        <v>27</v>
      </c>
      <c r="E8" s="3" t="s">
        <v>47</v>
      </c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</sheetData>
  <mergeCells count="1">
    <mergeCell ref="A1:F1"/>
  </mergeCells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3" topLeftCell="B4" activePane="bottomRight" state="frozen"/>
      <selection pane="bottomRight"/>
    </sheetView>
  </sheetViews>
  <sheetFormatPr defaultRowHeight="18" outlineLevelRow="0" outlineLevelCol="0" x14ac:dyDescent="55" customHeight="1"/>
  <cols>
    <col min="1" max="1" width="27" customWidth="1"/>
    <col min="2" max="6" width="18" customWidth="1"/>
  </cols>
  <sheetData>
    <row r="1" spans="1:6" x14ac:dyDescent="0.25">
      <c r="A1" s="1" t="s">
        <v>48</v>
      </c>
      <c r="B1" s="1"/>
      <c r="C1" s="1"/>
      <c r="D1" s="1"/>
      <c r="E1" s="1"/>
      <c r="F1" s="1"/>
    </row>
    <row r="2" spans="1:6" x14ac:dyDescent="0.25">
      <c r="A2" s="2" t="s">
        <v>49</v>
      </c>
      <c r="B2" s="3"/>
      <c r="C2" s="3"/>
      <c r="D2" s="3"/>
      <c r="E2" s="3"/>
      <c r="F2" s="3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4" t="s">
        <v>21</v>
      </c>
      <c r="B4" s="4" t="s">
        <v>22</v>
      </c>
      <c r="C4" s="4" t="s">
        <v>23</v>
      </c>
      <c r="D4" s="4" t="s">
        <v>24</v>
      </c>
      <c r="E4" s="4" t="s">
        <v>41</v>
      </c>
      <c r="F4" s="3"/>
    </row>
    <row r="5" spans="1:6" x14ac:dyDescent="0.25">
      <c r="A5" s="3" t="s">
        <v>29</v>
      </c>
      <c r="B5" s="6">
        <v>720</v>
      </c>
      <c r="C5" s="6">
        <v>792</v>
      </c>
      <c r="D5" s="3" t="s">
        <v>27</v>
      </c>
      <c r="E5" s="3" t="s">
        <v>42</v>
      </c>
      <c r="F5" s="3"/>
    </row>
    <row r="6" spans="1:6" x14ac:dyDescent="0.25">
      <c r="A6" s="3" t="s">
        <v>50</v>
      </c>
      <c r="B6" s="6">
        <v>35</v>
      </c>
      <c r="C6" s="6">
        <v>40</v>
      </c>
      <c r="D6" s="3" t="s">
        <v>31</v>
      </c>
      <c r="E6" s="3" t="s">
        <v>42</v>
      </c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 t="s">
        <v>48</v>
      </c>
      <c r="B8" s="7">
        <f>'01_前提条件'!B6/'01_前提条件'!B10*'01_前提条件'!B9</f>
        <v>69.04109589041096</v>
      </c>
      <c r="C8" s="7">
        <f>'01_前提条件'!C6/'01_前提条件'!C10*'01_前提条件'!C9</f>
        <v>86.79452054794521</v>
      </c>
      <c r="D8" s="3" t="s">
        <v>27</v>
      </c>
      <c r="E8" s="3" t="s">
        <v>51</v>
      </c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</sheetData>
  <mergeCells count="1">
    <mergeCell ref="A1:F1"/>
  </mergeCells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3" topLeftCell="B4" activePane="bottomRight" state="frozen"/>
      <selection pane="bottomRight"/>
    </sheetView>
  </sheetViews>
  <sheetFormatPr defaultRowHeight="18" outlineLevelRow="0" outlineLevelCol="0" x14ac:dyDescent="55" customHeight="1"/>
  <cols>
    <col min="1" max="1" width="27" customWidth="1"/>
    <col min="2" max="6" width="18" customWidth="1"/>
  </cols>
  <sheetData>
    <row r="1" spans="1:6" x14ac:dyDescent="0.25">
      <c r="A1" s="1" t="s">
        <v>52</v>
      </c>
      <c r="B1" s="1"/>
      <c r="C1" s="1"/>
      <c r="D1" s="1"/>
      <c r="E1" s="1"/>
      <c r="F1" s="1"/>
    </row>
    <row r="2" spans="1:6" x14ac:dyDescent="0.25">
      <c r="A2" s="2" t="s">
        <v>53</v>
      </c>
      <c r="B2" s="3"/>
      <c r="C2" s="3"/>
      <c r="D2" s="3"/>
      <c r="E2" s="3"/>
      <c r="F2" s="3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4" t="s">
        <v>21</v>
      </c>
      <c r="B4" s="4" t="s">
        <v>22</v>
      </c>
      <c r="C4" s="4" t="s">
        <v>23</v>
      </c>
      <c r="D4" s="4" t="s">
        <v>54</v>
      </c>
      <c r="E4" s="4" t="s">
        <v>55</v>
      </c>
      <c r="F4" s="3"/>
    </row>
    <row r="5" spans="1:6" x14ac:dyDescent="0.25">
      <c r="A5" s="3" t="s">
        <v>39</v>
      </c>
      <c r="B5" s="7">
        <f>'02_売掛金'!B8</f>
        <v>147.94520547945206</v>
      </c>
      <c r="C5" s="7">
        <f>'02_売掛金'!C8</f>
        <v>180.82191780821915</v>
      </c>
      <c r="D5" s="8">
        <f>C5-B5</f>
        <v>32.8767123287671</v>
      </c>
      <c r="E5" s="8">
        <f>-D5</f>
        <v>-32.8767123287671</v>
      </c>
      <c r="F5" s="3"/>
    </row>
    <row r="6" spans="1:6" x14ac:dyDescent="0.25">
      <c r="A6" s="3" t="s">
        <v>45</v>
      </c>
      <c r="B6" s="7">
        <f>'03_棚卸資産'!B8</f>
        <v>118.35616438356163</v>
      </c>
      <c r="C6" s="7">
        <f>'03_棚卸資産'!C8</f>
        <v>141.04109589041096</v>
      </c>
      <c r="D6" s="8">
        <f>C6-B6</f>
        <v>22.684931506849324</v>
      </c>
      <c r="E6" s="8">
        <f>-D6</f>
        <v>-22.684931506849324</v>
      </c>
      <c r="F6" s="3"/>
    </row>
    <row r="7" spans="1:6" x14ac:dyDescent="0.25">
      <c r="A7" s="3" t="s">
        <v>48</v>
      </c>
      <c r="B7" s="7">
        <f>'04_買掛金'!B8</f>
        <v>69.04109589041096</v>
      </c>
      <c r="C7" s="7">
        <f>'04_買掛金'!C8</f>
        <v>86.79452054794521</v>
      </c>
      <c r="D7" s="8">
        <f>C7-B7</f>
        <v>17.753424657534254</v>
      </c>
      <c r="E7" s="8">
        <f>D7</f>
        <v>17.753424657534254</v>
      </c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 t="s">
        <v>52</v>
      </c>
      <c r="B9" s="8">
        <f>SUM(B5:B6)-B7</f>
        <v>197.26027397260273</v>
      </c>
      <c r="C9" s="8">
        <f>SUM(C5:C6)-C7</f>
        <v>235.06849315068487</v>
      </c>
      <c r="D9" s="8">
        <f>C9-B9</f>
        <v>37.80821917808214</v>
      </c>
      <c r="E9" s="8">
        <f>-D9</f>
        <v>-37.80821917808214</v>
      </c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</sheetData>
  <mergeCells count="1">
    <mergeCell ref="A1:F1"/>
  </mergeCells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3" topLeftCell="B4" activePane="bottomRight" state="frozen"/>
      <selection pane="bottomRight"/>
    </sheetView>
  </sheetViews>
  <sheetFormatPr defaultRowHeight="18" outlineLevelRow="0" outlineLevelCol="0" x14ac:dyDescent="55" customHeight="1"/>
  <cols>
    <col min="1" max="1" width="27" customWidth="1"/>
    <col min="2" max="6" width="18" customWidth="1"/>
  </cols>
  <sheetData>
    <row r="1" spans="1:6" x14ac:dyDescent="0.25">
      <c r="A1" s="1" t="s">
        <v>56</v>
      </c>
      <c r="B1" s="1"/>
      <c r="C1" s="1"/>
      <c r="D1" s="1"/>
      <c r="E1" s="1"/>
      <c r="F1" s="1"/>
    </row>
    <row r="2" spans="1:6" x14ac:dyDescent="0.25">
      <c r="A2" s="2" t="s">
        <v>57</v>
      </c>
      <c r="B2" s="3"/>
      <c r="C2" s="3"/>
      <c r="D2" s="3"/>
      <c r="E2" s="3"/>
      <c r="F2" s="3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4" t="s">
        <v>21</v>
      </c>
      <c r="B4" s="4" t="s">
        <v>22</v>
      </c>
      <c r="C4" s="4" t="s">
        <v>23</v>
      </c>
      <c r="D4" s="4" t="s">
        <v>54</v>
      </c>
      <c r="E4" s="4" t="s">
        <v>58</v>
      </c>
      <c r="F4" s="3"/>
    </row>
    <row r="5" spans="1:6" x14ac:dyDescent="0.25">
      <c r="A5" s="3" t="s">
        <v>30</v>
      </c>
      <c r="B5" s="7">
        <f>'01_前提条件'!B7</f>
        <v>45</v>
      </c>
      <c r="C5" s="7">
        <f>'01_前提条件'!C7</f>
        <v>50</v>
      </c>
      <c r="D5" s="9">
        <f>C5-B5</f>
        <v>5</v>
      </c>
      <c r="E5" s="3" t="s">
        <v>59</v>
      </c>
      <c r="F5" s="3"/>
    </row>
    <row r="6" spans="1:6" x14ac:dyDescent="0.25">
      <c r="A6" s="3" t="s">
        <v>33</v>
      </c>
      <c r="B6" s="7">
        <f>'01_前提条件'!B8</f>
        <v>60</v>
      </c>
      <c r="C6" s="7">
        <f>'01_前提条件'!C8</f>
        <v>65</v>
      </c>
      <c r="D6" s="9">
        <f>C6-B6</f>
        <v>5</v>
      </c>
      <c r="E6" s="3" t="s">
        <v>60</v>
      </c>
      <c r="F6" s="3"/>
    </row>
    <row r="7" spans="1:6" x14ac:dyDescent="0.25">
      <c r="A7" s="3" t="s">
        <v>35</v>
      </c>
      <c r="B7" s="7">
        <f>'01_前提条件'!B9</f>
        <v>35</v>
      </c>
      <c r="C7" s="7">
        <f>'01_前提条件'!C9</f>
        <v>40</v>
      </c>
      <c r="D7" s="9">
        <f>C7-B7</f>
        <v>5</v>
      </c>
      <c r="E7" s="3" t="s">
        <v>61</v>
      </c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 t="s">
        <v>62</v>
      </c>
      <c r="B9" s="8">
        <f>B5+B6-B7</f>
        <v>70</v>
      </c>
      <c r="C9" s="8">
        <f>C5+C6-C7</f>
        <v>75</v>
      </c>
      <c r="D9" s="9">
        <f>C9-B9</f>
        <v>5</v>
      </c>
      <c r="E9" s="3" t="s">
        <v>63</v>
      </c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</sheetData>
  <mergeCells count="1">
    <mergeCell ref="A1:F1"/>
  </mergeCells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3" topLeftCell="B4" activePane="bottomRight" state="frozen"/>
      <selection pane="bottomRight"/>
    </sheetView>
  </sheetViews>
  <sheetFormatPr defaultRowHeight="18" outlineLevelRow="0" outlineLevelCol="0" x14ac:dyDescent="55" customHeight="1"/>
  <cols>
    <col min="1" max="1" width="27" customWidth="1"/>
    <col min="2" max="6" width="18" customWidth="1"/>
  </cols>
  <sheetData>
    <row r="1" spans="1:6" x14ac:dyDescent="0.25">
      <c r="A1" s="1" t="s">
        <v>64</v>
      </c>
      <c r="B1" s="1"/>
      <c r="C1" s="1"/>
      <c r="D1" s="1"/>
      <c r="E1" s="1"/>
      <c r="F1" s="1"/>
    </row>
    <row r="2" spans="1:6" x14ac:dyDescent="0.25">
      <c r="A2" s="2" t="s">
        <v>65</v>
      </c>
      <c r="B2" s="3"/>
      <c r="C2" s="3"/>
      <c r="D2" s="3"/>
      <c r="E2" s="3"/>
      <c r="F2" s="3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4" t="s">
        <v>66</v>
      </c>
      <c r="B4" s="4" t="s">
        <v>67</v>
      </c>
      <c r="C4" s="4" t="s">
        <v>68</v>
      </c>
      <c r="D4" s="4" t="s">
        <v>69</v>
      </c>
      <c r="E4" s="3"/>
      <c r="F4" s="3"/>
    </row>
    <row r="5" spans="1:6" x14ac:dyDescent="0.25">
      <c r="A5" s="3" t="s">
        <v>70</v>
      </c>
      <c r="B5" s="6">
        <v>180.82191780821915</v>
      </c>
      <c r="C5" s="10">
        <f>'02_売掛金'!C8-C5</f>
        <v>0</v>
      </c>
      <c r="D5" s="8" t="str">
        <f>IF(ABS(C5)&lt;0.1,"適合","要確認")</f>
        <v>適合</v>
      </c>
      <c r="E5" s="3"/>
      <c r="F5" s="3"/>
    </row>
    <row r="6" spans="1:6" x14ac:dyDescent="0.25">
      <c r="A6" s="3" t="s">
        <v>71</v>
      </c>
      <c r="B6" s="6">
        <v>141.04109589041096</v>
      </c>
      <c r="C6" s="10">
        <f>'03_棚卸資産'!C8-C6</f>
        <v>0</v>
      </c>
      <c r="D6" s="8" t="str">
        <f>IF(ABS(C6)&lt;0.1,"適合","要確認")</f>
        <v>適合</v>
      </c>
      <c r="E6" s="3"/>
      <c r="F6" s="3"/>
    </row>
    <row r="7" spans="1:6" x14ac:dyDescent="0.25">
      <c r="A7" s="3" t="s">
        <v>72</v>
      </c>
      <c r="B7" s="6">
        <v>86.79452054794521</v>
      </c>
      <c r="C7" s="10">
        <f>'04_買掛金'!C8-C7</f>
        <v>0</v>
      </c>
      <c r="D7" s="8" t="str">
        <f>IF(ABS(C7)&lt;0.1,"適合","要確認")</f>
        <v>適合</v>
      </c>
      <c r="E7" s="3"/>
      <c r="F7" s="3"/>
    </row>
    <row r="8" spans="1:6" x14ac:dyDescent="0.25">
      <c r="A8" s="3" t="s">
        <v>73</v>
      </c>
      <c r="B8" s="6">
        <v>-37.80821917808214</v>
      </c>
      <c r="C8" s="10">
        <f>'05_運転資本'!E9-C8</f>
        <v>0</v>
      </c>
      <c r="D8" s="8" t="str">
        <f>IF(ABS(C8)&lt;0.1,"適合","要確認")</f>
        <v>適合</v>
      </c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</sheetData>
  <mergeCells count="1">
    <mergeCell ref="A1:F1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00_使い方</vt:lpstr>
      <vt:lpstr>01_前提条件</vt:lpstr>
      <vt:lpstr>02_売掛金</vt:lpstr>
      <vt:lpstr>03_棚卸資産</vt:lpstr>
      <vt:lpstr>04_買掛金</vt:lpstr>
      <vt:lpstr>05_運転資本</vt:lpstr>
      <vt:lpstr>06_CCC分析</vt:lpstr>
      <vt:lpstr>07_チェック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Modeling Lab 編集部</dc:creator>
  <dc:title/>
  <dc:subject/>
  <dc:description/>
  <cp:keywords/>
  <cp:category/>
  <cp:lastModifiedBy>Finance Modeling Lab 編集部</cp:lastModifiedBy>
  <dcterms:created xsi:type="dcterms:W3CDTF">2026-07-25T15:00:00Z</dcterms:created>
  <dcterms:modified xsi:type="dcterms:W3CDTF">2026-07-25T15:00:00Z</dcterms:modified>
</cp:coreProperties>
</file>