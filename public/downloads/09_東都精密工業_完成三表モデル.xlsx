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表紙" state="visible" r:id="rId4"/>
    <sheet sheetId="2" name="01_管理" state="visible" r:id="rId5"/>
    <sheet sheetId="3" name="02_資料管理" state="visible" r:id="rId6"/>
    <sheet sheetId="4" name="03_実績財務諸表" state="visible" r:id="rId7"/>
    <sheet sheetId="5" name="04_正常化調整" state="visible" r:id="rId8"/>
    <sheet sheetId="6" name="05_前提条件" state="visible" r:id="rId9"/>
    <sheet sheetId="7" name="06_売上高" state="visible" r:id="rId10"/>
    <sheet sheetId="8" name="07_原価" state="visible" r:id="rId11"/>
    <sheet sheetId="9" name="08_人員" state="visible" r:id="rId12"/>
    <sheet sheetId="10" name="09_運転資本" state="visible" r:id="rId13"/>
    <sheet sheetId="11" name="10_固定資産" state="visible" r:id="rId14"/>
    <sheet sheetId="12" name="11_借入金" state="visible" r:id="rId15"/>
    <sheet sheetId="13" name="12_PL" state="visible" r:id="rId16"/>
    <sheet sheetId="14" name="13_BS" state="visible" r:id="rId17"/>
    <sheet sheetId="15" name="14_CF" state="visible" r:id="rId18"/>
    <sheet sheetId="16" name="15_出力" state="visible" r:id="rId19"/>
    <sheet sheetId="17" name="16_チェック" state="visible" r:id="rId20"/>
    <sheet sheetId="18" name="17_指摘事項" state="visible" r:id="rId21"/>
    <sheet sheetId="19" name="18_変更履歴" state="visible" r:id="rId22"/>
  </sheets>
  <definedNames>
    <definedName name="_xlnm.Print_Area" localSheetId="0">'00_表紙'!$A1:$N60</definedName>
    <definedName name="_xlnm.Print_Area" localSheetId="1">'01_管理'!$A1:$N60</definedName>
    <definedName name="_xlnm.Print_Area" localSheetId="2">'02_資料管理'!$A1:$N60</definedName>
    <definedName name="_xlnm.Print_Area" localSheetId="3">'03_実績財務諸表'!$A1:$N60</definedName>
    <definedName name="_xlnm.Print_Area" localSheetId="4">'04_正常化調整'!$A1:$N60</definedName>
    <definedName name="_xlnm.Print_Area" localSheetId="5">'05_前提条件'!$A1:$N60</definedName>
    <definedName name="_xlnm.Print_Area" localSheetId="6">'06_売上高'!$A1:$N60</definedName>
    <definedName name="_xlnm.Print_Area" localSheetId="7">'07_原価'!$A1:$N60</definedName>
    <definedName name="_xlnm.Print_Area" localSheetId="8">'08_人員'!$A1:$N60</definedName>
    <definedName name="_xlnm.Print_Area" localSheetId="9">'09_運転資本'!$A1:$N60</definedName>
    <definedName name="_xlnm.Print_Area" localSheetId="10">'10_固定資産'!$A1:$N60</definedName>
    <definedName name="_xlnm.Print_Area" localSheetId="11">'11_借入金'!$A1:$N60</definedName>
    <definedName name="_xlnm.Print_Area" localSheetId="12">'12_PL'!$A1:$N60</definedName>
    <definedName name="_xlnm.Print_Area" localSheetId="13">'13_BS'!$A1:$N60</definedName>
    <definedName name="_xlnm.Print_Area" localSheetId="14">'14_CF'!$A1:$N60</definedName>
    <definedName name="_xlnm.Print_Area" localSheetId="15">'15_出力'!$A1:$N60</definedName>
    <definedName name="_xlnm.Print_Area" localSheetId="16">'16_チェック'!$A1:$N60</definedName>
    <definedName name="_xlnm.Print_Area" localSheetId="17">'17_指摘事項'!$A1:$N60</definedName>
    <definedName name="_xlnm.Print_Area" localSheetId="18">'18_変更履歴'!$A1:$N60</definedName>
  </definedNames>
  <calcPr calcId="171027" fullCalcOnLoad="1"/>
</workbook>
</file>

<file path=xl/sharedStrings.xml><?xml version="1.0" encoding="utf-8"?>
<sst xmlns="http://schemas.openxmlformats.org/spreadsheetml/2006/main" count="303" uniqueCount="170">
  <si>
    <t>00_表紙</t>
  </si>
  <si>
    <t>東都精密工業株式会社｜完成三表モデル｜単位：百万円</t>
  </si>
  <si>
    <t>会社名</t>
  </si>
  <si>
    <t>東都精密工業株式会社</t>
  </si>
  <si>
    <t>モデル目的</t>
  </si>
  <si>
    <t>事業計画、資金繰り、財務三表の検証</t>
  </si>
  <si>
    <t>基準日</t>
  </si>
  <si>
    <t>2025/03/31</t>
  </si>
  <si>
    <t>判定</t>
  </si>
  <si>
    <t>Ready with caveats</t>
  </si>
  <si>
    <t>01_管理</t>
  </si>
  <si>
    <t>項目</t>
  </si>
  <si>
    <t>設定値</t>
  </si>
  <si>
    <t>説明</t>
  </si>
  <si>
    <t>選択シナリオ</t>
  </si>
  <si>
    <t>Base</t>
  </si>
  <si>
    <t>単位</t>
  </si>
  <si>
    <t>百万円</t>
  </si>
  <si>
    <t>最低現預金</t>
  </si>
  <si>
    <t>02_資料管理</t>
  </si>
  <si>
    <t>資料番号</t>
  </si>
  <si>
    <t>資料名</t>
  </si>
  <si>
    <t>使用シート</t>
  </si>
  <si>
    <t>主要セル</t>
  </si>
  <si>
    <t>状況</t>
  </si>
  <si>
    <t>S-01</t>
  </si>
  <si>
    <t>月次試算表</t>
  </si>
  <si>
    <t>03_実績財務諸表</t>
  </si>
  <si>
    <t>B8:B30</t>
  </si>
  <si>
    <t>確認済</t>
  </si>
  <si>
    <t>S-02</t>
  </si>
  <si>
    <t>固定資産台帳</t>
  </si>
  <si>
    <t>10_固定資産</t>
  </si>
  <si>
    <t>B8:G12</t>
  </si>
  <si>
    <t>差異調整済</t>
  </si>
  <si>
    <t>S-03</t>
  </si>
  <si>
    <t>借入金明細</t>
  </si>
  <si>
    <t>11_借入金</t>
  </si>
  <si>
    <t>PL</t>
  </si>
  <si>
    <t>2025年3月期</t>
  </si>
  <si>
    <t>BS</t>
  </si>
  <si>
    <t>売上高</t>
  </si>
  <si>
    <t>現預金</t>
  </si>
  <si>
    <t>売上原価</t>
  </si>
  <si>
    <t>売掛金</t>
  </si>
  <si>
    <t>売上総利益</t>
  </si>
  <si>
    <t>棚卸資産</t>
  </si>
  <si>
    <t>販売費及び一般管理費</t>
  </si>
  <si>
    <t>買掛金</t>
  </si>
  <si>
    <t>EBITDA</t>
  </si>
  <si>
    <t>有利子負債</t>
  </si>
  <si>
    <t>減価償却費</t>
  </si>
  <si>
    <t>営業利益</t>
  </si>
  <si>
    <t>04_正常化調整</t>
  </si>
  <si>
    <t>番号</t>
  </si>
  <si>
    <t>金額</t>
  </si>
  <si>
    <t>PL影響</t>
  </si>
  <si>
    <t>根拠</t>
  </si>
  <si>
    <t>採否</t>
  </si>
  <si>
    <t>役員退職金</t>
  </si>
  <si>
    <t>加算</t>
  </si>
  <si>
    <t>退任役員1名の一過性費用</t>
  </si>
  <si>
    <t>採用</t>
  </si>
  <si>
    <t>05_前提条件</t>
  </si>
  <si>
    <t>前提項目</t>
  </si>
  <si>
    <t>Upside</t>
  </si>
  <si>
    <t>Downside</t>
  </si>
  <si>
    <t>選択値</t>
  </si>
  <si>
    <t>出所・根拠</t>
  </si>
  <si>
    <t>販売数量成長率</t>
  </si>
  <si>
    <t>%</t>
  </si>
  <si>
    <t>受注計画・営業ヒアリング</t>
  </si>
  <si>
    <t>平均販売単価上昇率</t>
  </si>
  <si>
    <t>価格改定方針</t>
  </si>
  <si>
    <t>材料費率</t>
  </si>
  <si>
    <t>購買計画</t>
  </si>
  <si>
    <t>売掛金回転日数</t>
  </si>
  <si>
    <t>日</t>
  </si>
  <si>
    <t>得意先別回収条件</t>
  </si>
  <si>
    <t>棚卸資産回転日数</t>
  </si>
  <si>
    <t>在庫方針</t>
  </si>
  <si>
    <t>06_売上高</t>
  </si>
  <si>
    <t>2026年3月期</t>
  </si>
  <si>
    <t>2027年3月期</t>
  </si>
  <si>
    <t>2028年3月期</t>
  </si>
  <si>
    <t>2029年3月期</t>
  </si>
  <si>
    <t>2030年3月期</t>
  </si>
  <si>
    <t>販売数量</t>
  </si>
  <si>
    <t>平均販売単価</t>
  </si>
  <si>
    <t>07_原価</t>
  </si>
  <si>
    <t>材料費</t>
  </si>
  <si>
    <t>労務費</t>
  </si>
  <si>
    <t>08_人員</t>
  </si>
  <si>
    <t>平均人員</t>
  </si>
  <si>
    <t>一人当たり人件費</t>
  </si>
  <si>
    <t>人件費</t>
  </si>
  <si>
    <t>09_運転資本</t>
  </si>
  <si>
    <t>期首帳簿価額</t>
  </si>
  <si>
    <t>設備投資</t>
  </si>
  <si>
    <t>期末帳簿価額</t>
  </si>
  <si>
    <t>期首借入金</t>
  </si>
  <si>
    <t>新規借入</t>
  </si>
  <si>
    <t>返済</t>
  </si>
  <si>
    <t>期末借入金</t>
  </si>
  <si>
    <t>12_PL</t>
  </si>
  <si>
    <t>支払利息</t>
  </si>
  <si>
    <t>税引前当期純利益</t>
  </si>
  <si>
    <t>法人税等</t>
  </si>
  <si>
    <t>当期純利益</t>
  </si>
  <si>
    <t>13_BS</t>
  </si>
  <si>
    <t>固定資産</t>
  </si>
  <si>
    <t>その他資産</t>
  </si>
  <si>
    <t>資産合計</t>
  </si>
  <si>
    <t>その他負債</t>
  </si>
  <si>
    <t>資本金等</t>
  </si>
  <si>
    <t>利益剰余金</t>
  </si>
  <si>
    <t>負債・純資産合計</t>
  </si>
  <si>
    <t>14_CF</t>
  </si>
  <si>
    <t>運転資本増減</t>
  </si>
  <si>
    <t>営業CF</t>
  </si>
  <si>
    <t>借入金増減</t>
  </si>
  <si>
    <t>現預金増減</t>
  </si>
  <si>
    <t>期末現預金</t>
  </si>
  <si>
    <t>15_出力</t>
  </si>
  <si>
    <t>主要指標</t>
  </si>
  <si>
    <t>16_チェック</t>
  </si>
  <si>
    <t>確認項目</t>
  </si>
  <si>
    <t>基準</t>
  </si>
  <si>
    <t>差額・件数</t>
  </si>
  <si>
    <t>対応先</t>
  </si>
  <si>
    <t>貸借一致</t>
  </si>
  <si>
    <t>0</t>
  </si>
  <si>
    <t>適合</t>
  </si>
  <si>
    <t>CF・BS現預金一致</t>
  </si>
  <si>
    <t>13_BS / 14_CF</t>
  </si>
  <si>
    <t>Critical未対応</t>
  </si>
  <si>
    <t>0件</t>
  </si>
  <si>
    <t>17_指摘事項</t>
  </si>
  <si>
    <t>重要前提の根拠</t>
  </si>
  <si>
    <t>空欄なし</t>
  </si>
  <si>
    <t>提出可否</t>
  </si>
  <si>
    <t>Criticalなし</t>
  </si>
  <si>
    <t>軽微な留意点1件</t>
  </si>
  <si>
    <t>シート・セル</t>
  </si>
  <si>
    <t>重要度</t>
  </si>
  <si>
    <t>指摘事項</t>
  </si>
  <si>
    <t>担当者</t>
  </si>
  <si>
    <t>期限</t>
  </si>
  <si>
    <t>対応状況</t>
  </si>
  <si>
    <t>確認者</t>
  </si>
  <si>
    <t>05_前提条件!F12</t>
  </si>
  <si>
    <t>Major</t>
  </si>
  <si>
    <t>Downsideの在庫日数は追加ヒアリング後に更新</t>
  </si>
  <si>
    <t>モデル担当</t>
  </si>
  <si>
    <t>2026/07/31</t>
  </si>
  <si>
    <t>留意点として明示</t>
  </si>
  <si>
    <t>レビュー担当</t>
  </si>
  <si>
    <t>18_変更履歴</t>
  </si>
  <si>
    <t>版</t>
  </si>
  <si>
    <t>更新日</t>
  </si>
  <si>
    <t>更新者</t>
  </si>
  <si>
    <t>変更内容</t>
  </si>
  <si>
    <t>影響範囲</t>
  </si>
  <si>
    <t>再確認</t>
  </si>
  <si>
    <t>v1.0</t>
  </si>
  <si>
    <t>2026/07/25</t>
  </si>
  <si>
    <t>Finance Modeling Lab 編集部</t>
  </si>
  <si>
    <t>共通案件の完成モデルを作成</t>
  </si>
  <si>
    <t>全シート</t>
  </si>
  <si>
    <t>主要チェック適合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</si>
</sst>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color rgb="FF147D73"/>
      <name val="Yu Gothic"/>
    </font>
    <font>
      <sz val="10"/>
      <name val="Yu Gothic"/>
    </font>
    <font>
      <color rgb="FFFFFFFF"/>
      <sz val="10"/>
      <name val="Yu Gothic"/>
    </font>
    <font>
      <color rgb="FF1F4E78"/>
      <sz val="10"/>
      <name val="Yu Gothic"/>
    </font>
  </fonts>
  <fills count="8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7F0FF"/>
      </patternFill>
    </fill>
    <fill>
      <patternFill patternType="solid">
        <fgColor rgb="FFE9F6EF"/>
      </patternFill>
    </fill>
    <fill>
      <patternFill patternType="solid">
        <fgColor rgb="FFFFFFFF"/>
      </patternFill>
    </fill>
    <fill>
      <patternFill patternType="solid">
        <fgColor rgb="FFE6F4E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E0E5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wrapText="1"/>
    </xf>
    <xf numFmtId="0" fontId="3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4" borderId="1" xfId="0" applyNumberFormat="1" applyFont="1" applyFill="1" applyBorder="1" applyAlignment="1">
      <alignment vertical="top" wrapText="1"/>
    </xf>
    <xf numFmtId="165" fontId="5" fillId="4" borderId="1" xfId="0" applyNumberFormat="1" applyFont="1" applyFill="1" applyBorder="1" applyAlignment="1">
      <alignment vertical="top" wrapText="1"/>
    </xf>
    <xf numFmtId="164" fontId="3" fillId="5" borderId="1" xfId="0" applyNumberFormat="1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  <xf numFmtId="164" fontId="3" fillId="6" borderId="1" xfId="0" applyNumberFormat="1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 t="s">
        <v>2</v>
      </c>
      <c r="B3" s="3" t="s">
        <v>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3" t="s">
        <v>4</v>
      </c>
      <c r="B4" s="3" t="s">
        <v>5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x14ac:dyDescent="0.25">
      <c r="A5" s="3" t="s">
        <v>6</v>
      </c>
      <c r="B5" s="3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 t="s">
        <v>8</v>
      </c>
      <c r="B6" s="3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12</v>
      </c>
      <c r="C4" s="4" t="s">
        <v>13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x14ac:dyDescent="0.25">
      <c r="A5" s="3" t="s">
        <v>14</v>
      </c>
      <c r="B5" s="5" t="s">
        <v>15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 t="s">
        <v>16</v>
      </c>
      <c r="B6" s="3" t="s">
        <v>17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 t="s">
        <v>18</v>
      </c>
      <c r="B7" s="6">
        <v>500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20</v>
      </c>
      <c r="B4" s="4" t="s">
        <v>21</v>
      </c>
      <c r="C4" s="4" t="s">
        <v>6</v>
      </c>
      <c r="D4" s="4" t="s">
        <v>22</v>
      </c>
      <c r="E4" s="4" t="s">
        <v>23</v>
      </c>
      <c r="F4" s="4" t="s">
        <v>24</v>
      </c>
      <c r="G4" s="3"/>
      <c r="H4" s="3"/>
      <c r="I4" s="3"/>
      <c r="J4" s="3"/>
      <c r="K4" s="3"/>
      <c r="L4" s="3"/>
      <c r="M4" s="3"/>
      <c r="N4" s="3"/>
    </row>
    <row r="5" spans="1:14" x14ac:dyDescent="0.25">
      <c r="A5" s="3" t="s">
        <v>25</v>
      </c>
      <c r="B5" s="3" t="s">
        <v>26</v>
      </c>
      <c r="C5" s="3" t="s">
        <v>7</v>
      </c>
      <c r="D5" s="3" t="s">
        <v>27</v>
      </c>
      <c r="E5" s="3" t="s">
        <v>28</v>
      </c>
      <c r="F5" s="3" t="s">
        <v>29</v>
      </c>
      <c r="G5" s="3"/>
      <c r="H5" s="3"/>
      <c r="I5" s="3"/>
      <c r="J5" s="3"/>
      <c r="K5" s="3"/>
      <c r="L5" s="3"/>
      <c r="M5" s="3"/>
      <c r="N5" s="3"/>
    </row>
    <row r="6" spans="1:14" x14ac:dyDescent="0.25">
      <c r="A6" s="3" t="s">
        <v>30</v>
      </c>
      <c r="B6" s="3" t="s">
        <v>31</v>
      </c>
      <c r="C6" s="3" t="s">
        <v>7</v>
      </c>
      <c r="D6" s="3" t="s">
        <v>32</v>
      </c>
      <c r="E6" s="3" t="s">
        <v>33</v>
      </c>
      <c r="F6" s="3" t="s">
        <v>34</v>
      </c>
      <c r="G6" s="3"/>
      <c r="H6" s="3"/>
      <c r="I6" s="3"/>
      <c r="J6" s="3"/>
      <c r="K6" s="3"/>
      <c r="L6" s="3"/>
      <c r="M6" s="3"/>
      <c r="N6" s="3"/>
    </row>
    <row r="7" spans="1:14" x14ac:dyDescent="0.25">
      <c r="A7" s="3" t="s">
        <v>35</v>
      </c>
      <c r="B7" s="3" t="s">
        <v>36</v>
      </c>
      <c r="C7" s="3" t="s">
        <v>7</v>
      </c>
      <c r="D7" s="3" t="s">
        <v>37</v>
      </c>
      <c r="E7" s="3" t="s">
        <v>33</v>
      </c>
      <c r="F7" s="3" t="s">
        <v>34</v>
      </c>
      <c r="G7" s="3"/>
      <c r="H7" s="3"/>
      <c r="I7" s="3"/>
      <c r="J7" s="3"/>
      <c r="K7" s="3"/>
      <c r="L7" s="3"/>
      <c r="M7" s="3"/>
      <c r="N7" s="3"/>
    </row>
    <row r="8" spans="1:14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38</v>
      </c>
      <c r="B4" s="4" t="s">
        <v>39</v>
      </c>
      <c r="C4" s="4" t="s">
        <v>40</v>
      </c>
      <c r="D4" s="4" t="s">
        <v>39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41</v>
      </c>
      <c r="B8" s="3">
        <v>10000</v>
      </c>
      <c r="C8" s="3" t="s">
        <v>42</v>
      </c>
      <c r="D8" s="3">
        <v>600</v>
      </c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43</v>
      </c>
      <c r="B9" s="3">
        <v>7000</v>
      </c>
      <c r="C9" s="3" t="s">
        <v>44</v>
      </c>
      <c r="D9" s="3">
        <v>1500</v>
      </c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45</v>
      </c>
      <c r="B10" s="3">
        <v>3000</v>
      </c>
      <c r="C10" s="3" t="s">
        <v>46</v>
      </c>
      <c r="D10" s="3">
        <v>1200</v>
      </c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 t="s">
        <v>47</v>
      </c>
      <c r="B11" s="3">
        <v>1800</v>
      </c>
      <c r="C11" s="3" t="s">
        <v>48</v>
      </c>
      <c r="D11" s="3">
        <v>900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 t="s">
        <v>49</v>
      </c>
      <c r="B12" s="3">
        <v>1500</v>
      </c>
      <c r="C12" s="3" t="s">
        <v>50</v>
      </c>
      <c r="D12" s="3">
        <v>2000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 t="s">
        <v>51</v>
      </c>
      <c r="B13" s="3">
        <v>300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 t="s">
        <v>52</v>
      </c>
      <c r="B14" s="3">
        <v>1200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54</v>
      </c>
      <c r="B4" s="4" t="s">
        <v>11</v>
      </c>
      <c r="C4" s="4" t="s">
        <v>55</v>
      </c>
      <c r="D4" s="4" t="s">
        <v>56</v>
      </c>
      <c r="E4" s="4" t="s">
        <v>57</v>
      </c>
      <c r="F4" s="4" t="s">
        <v>58</v>
      </c>
      <c r="G4" s="3"/>
      <c r="H4" s="3"/>
      <c r="I4" s="3"/>
      <c r="J4" s="3"/>
      <c r="K4" s="3"/>
      <c r="L4" s="3"/>
      <c r="M4" s="3"/>
      <c r="N4" s="3"/>
    </row>
    <row r="5" spans="1:14" x14ac:dyDescent="0.25">
      <c r="A5" s="3">
        <v>1</v>
      </c>
      <c r="B5" s="3" t="s">
        <v>59</v>
      </c>
      <c r="C5" s="3">
        <v>80</v>
      </c>
      <c r="D5" s="3" t="s">
        <v>60</v>
      </c>
      <c r="E5" s="3" t="s">
        <v>61</v>
      </c>
      <c r="F5" s="3" t="s">
        <v>62</v>
      </c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4" t="s">
        <v>64</v>
      </c>
      <c r="B7" s="4" t="s">
        <v>16</v>
      </c>
      <c r="C7" s="4" t="s">
        <v>15</v>
      </c>
      <c r="D7" s="4" t="s">
        <v>65</v>
      </c>
      <c r="E7" s="4" t="s">
        <v>66</v>
      </c>
      <c r="F7" s="4" t="s">
        <v>67</v>
      </c>
      <c r="G7" s="4" t="s">
        <v>68</v>
      </c>
      <c r="H7" s="3"/>
      <c r="I7" s="3"/>
      <c r="J7" s="3"/>
      <c r="K7" s="3"/>
      <c r="L7" s="3"/>
      <c r="M7" s="3"/>
      <c r="N7" s="3"/>
    </row>
    <row r="8" spans="1:14" x14ac:dyDescent="0.25">
      <c r="A8" s="3" t="s">
        <v>69</v>
      </c>
      <c r="B8" s="3" t="s">
        <v>70</v>
      </c>
      <c r="C8" s="7">
        <v>0.04</v>
      </c>
      <c r="D8" s="7">
        <v>0.07</v>
      </c>
      <c r="E8" s="7">
        <v>-0.03</v>
      </c>
      <c r="F8" s="8">
        <f>INDEX(C8:E8,1,MATCH('01_管理'!$B$5,$C$7:$E$7,0))</f>
        <v>0.04</v>
      </c>
      <c r="G8" s="3" t="s">
        <v>71</v>
      </c>
      <c r="H8" s="3"/>
      <c r="I8" s="3"/>
      <c r="J8" s="3"/>
      <c r="K8" s="3"/>
      <c r="L8" s="3"/>
      <c r="M8" s="3"/>
      <c r="N8" s="3"/>
    </row>
    <row r="9" spans="1:14" x14ac:dyDescent="0.25">
      <c r="A9" s="3" t="s">
        <v>72</v>
      </c>
      <c r="B9" s="3" t="s">
        <v>70</v>
      </c>
      <c r="C9" s="7">
        <v>0.01</v>
      </c>
      <c r="D9" s="7">
        <v>0.02</v>
      </c>
      <c r="E9" s="7">
        <v>0</v>
      </c>
      <c r="F9" s="8">
        <f>INDEX(C9:E9,1,MATCH('01_管理'!$B$5,$C$7:$E$7,0))</f>
        <v>0.01</v>
      </c>
      <c r="G9" s="3" t="s">
        <v>73</v>
      </c>
      <c r="H9" s="3"/>
      <c r="I9" s="3"/>
      <c r="J9" s="3"/>
      <c r="K9" s="3"/>
      <c r="L9" s="3"/>
      <c r="M9" s="3"/>
      <c r="N9" s="3"/>
    </row>
    <row r="10" spans="1:14" x14ac:dyDescent="0.25">
      <c r="A10" s="3" t="s">
        <v>74</v>
      </c>
      <c r="B10" s="3" t="s">
        <v>70</v>
      </c>
      <c r="C10" s="7">
        <v>0.42</v>
      </c>
      <c r="D10" s="7">
        <v>0.4</v>
      </c>
      <c r="E10" s="7">
        <v>0.46</v>
      </c>
      <c r="F10" s="8">
        <f>INDEX(C10:E10,1,MATCH('01_管理'!$B$5,$C$7:$E$7,0))</f>
        <v>0.42</v>
      </c>
      <c r="G10" s="3" t="s">
        <v>75</v>
      </c>
      <c r="H10" s="3"/>
      <c r="I10" s="3"/>
      <c r="J10" s="3"/>
      <c r="K10" s="3"/>
      <c r="L10" s="3"/>
      <c r="M10" s="3"/>
      <c r="N10" s="3"/>
    </row>
    <row r="11" spans="1:14" x14ac:dyDescent="0.25">
      <c r="A11" s="3" t="s">
        <v>76</v>
      </c>
      <c r="B11" s="3" t="s">
        <v>77</v>
      </c>
      <c r="C11" s="9">
        <v>55</v>
      </c>
      <c r="D11" s="9">
        <v>52</v>
      </c>
      <c r="E11" s="9">
        <v>62</v>
      </c>
      <c r="F11" s="8">
        <f>INDEX(C11:E11,1,MATCH('01_管理'!$B$5,$C$7:$E$7,0))</f>
        <v>55</v>
      </c>
      <c r="G11" s="3" t="s">
        <v>78</v>
      </c>
      <c r="H11" s="3"/>
      <c r="I11" s="3"/>
      <c r="J11" s="3"/>
      <c r="K11" s="3"/>
      <c r="L11" s="3"/>
      <c r="M11" s="3"/>
      <c r="N11" s="3"/>
    </row>
    <row r="12" spans="1:14" x14ac:dyDescent="0.25">
      <c r="A12" s="3" t="s">
        <v>79</v>
      </c>
      <c r="B12" s="3" t="s">
        <v>77</v>
      </c>
      <c r="C12" s="9">
        <v>63</v>
      </c>
      <c r="D12" s="9">
        <v>58</v>
      </c>
      <c r="E12" s="9">
        <v>75</v>
      </c>
      <c r="F12" s="8">
        <f>INDEX(C12:E12,1,MATCH('01_管理'!$B$5,$C$7:$E$7,0))</f>
        <v>63</v>
      </c>
      <c r="G12" s="3" t="s">
        <v>80</v>
      </c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87</v>
      </c>
      <c r="B8" s="3">
        <v>1000</v>
      </c>
      <c r="C8" s="10">
        <f>B8*(1+'05_前提条件'!F8)</f>
        <v>1040</v>
      </c>
      <c r="D8" s="10">
        <f>C8*(1+'05_前提条件'!F8)</f>
        <v>1081.6000000000001</v>
      </c>
      <c r="E8" s="10">
        <f>D8*(1+'05_前提条件'!F8)</f>
        <v>1124.864</v>
      </c>
      <c r="F8" s="10">
        <f>E8*(1+'05_前提条件'!F8)</f>
        <v>1169.8585600000001</v>
      </c>
      <c r="G8" s="10">
        <f>F8*(1+'05_前提条件'!F8)</f>
        <v>1216.6529024000001</v>
      </c>
      <c r="H8" s="3"/>
      <c r="I8" s="3"/>
      <c r="J8" s="3"/>
      <c r="K8" s="3"/>
      <c r="L8" s="3"/>
      <c r="M8" s="3"/>
      <c r="N8" s="3"/>
    </row>
    <row r="9" spans="1:14" x14ac:dyDescent="0.25">
      <c r="A9" s="3" t="s">
        <v>88</v>
      </c>
      <c r="B9" s="3">
        <v>10</v>
      </c>
      <c r="C9" s="10">
        <f>B9*(1+'05_前提条件'!F9)</f>
        <v>10.1</v>
      </c>
      <c r="D9" s="10">
        <f>C9*(1+'05_前提条件'!F9)</f>
        <v>10.201</v>
      </c>
      <c r="E9" s="10">
        <f>D9*(1+'05_前提条件'!F9)</f>
        <v>10.30301</v>
      </c>
      <c r="F9" s="10">
        <f>E9*(1+'05_前提条件'!F9)</f>
        <v>10.4060401</v>
      </c>
      <c r="G9" s="10">
        <f>F9*(1+'05_前提条件'!F9)</f>
        <v>10.510100501</v>
      </c>
      <c r="H9" s="3"/>
      <c r="I9" s="3"/>
      <c r="J9" s="3"/>
      <c r="K9" s="3"/>
      <c r="L9" s="3"/>
      <c r="M9" s="3"/>
      <c r="N9" s="3"/>
    </row>
    <row r="10" spans="1:14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 t="s">
        <v>41</v>
      </c>
      <c r="B12" s="3">
        <v>10000</v>
      </c>
      <c r="C12" s="10">
        <f>C8*C9</f>
        <v>10504</v>
      </c>
      <c r="D12" s="10">
        <f>D8*D9</f>
        <v>11033.4016</v>
      </c>
      <c r="E12" s="10">
        <f>E8*E9</f>
        <v>11589.485040639998</v>
      </c>
      <c r="F12" s="10">
        <f>F8*F9</f>
        <v>12173.595086688256</v>
      </c>
      <c r="G12" s="10">
        <f>G8*G9</f>
        <v>12787.144279057344</v>
      </c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90</v>
      </c>
      <c r="B8" s="3">
        <v>4200</v>
      </c>
      <c r="C8" s="10">
        <f>'06_売上高'!C12*'05_前提条件'!F10</f>
        <v>4411.7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91</v>
      </c>
      <c r="B9" s="3">
        <v>1400</v>
      </c>
      <c r="C9" s="10">
        <f>'08_人員'!C10</f>
        <v>1456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 t="s">
        <v>43</v>
      </c>
      <c r="B12" s="3">
        <v>7000</v>
      </c>
      <c r="C12" s="10">
        <f>SUM(C8:C11)</f>
        <v>7210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93</v>
      </c>
      <c r="B8" s="3">
        <v>200</v>
      </c>
      <c r="C8" s="10">
        <f>B8*(1+2%)</f>
        <v>204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94</v>
      </c>
      <c r="B9" s="3">
        <v>7</v>
      </c>
      <c r="C9" s="10">
        <f>B9*(1+2%)</f>
        <v>7.14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95</v>
      </c>
      <c r="B10" s="3">
        <v>1400</v>
      </c>
      <c r="C10" s="10">
        <f>C8*C9</f>
        <v>1456.6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44</v>
      </c>
      <c r="B8" s="3">
        <v>1500</v>
      </c>
      <c r="C8" s="10">
        <f>'12_PL'!C8/365*'05_前提条件'!F11</f>
        <v>1582.8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46</v>
      </c>
      <c r="B9" s="3">
        <v>1200</v>
      </c>
      <c r="C9" s="10">
        <f>'12_PL'!C9/365*'05_前提条件'!F12</f>
        <v>1244.7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48</v>
      </c>
      <c r="B10" s="3">
        <v>900</v>
      </c>
      <c r="C10" s="10">
        <f>'12_PL'!C9/365*47</f>
        <v>928.5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97</v>
      </c>
      <c r="B8" s="3">
        <v>2640</v>
      </c>
      <c r="C8" s="10">
        <f>B11</f>
        <v>2940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98</v>
      </c>
      <c r="B9" s="3">
        <v>600</v>
      </c>
      <c r="C9" s="6">
        <v>650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51</v>
      </c>
      <c r="B10" s="3">
        <v>-300</v>
      </c>
      <c r="C10" s="10">
        <f>-C8*10%</f>
        <v>-294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 t="s">
        <v>99</v>
      </c>
      <c r="B11" s="3">
        <v>2940</v>
      </c>
      <c r="C11" s="10">
        <f>SUM(C8:C10)</f>
        <v>3296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100</v>
      </c>
      <c r="B8" s="3">
        <v>2350</v>
      </c>
      <c r="C8" s="10">
        <f>B11</f>
        <v>2000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101</v>
      </c>
      <c r="B9" s="3">
        <v>0</v>
      </c>
      <c r="C9" s="10">
        <f>MAX(0,'01_管理'!B7-('14_CF'!B20+'14_CF'!C19))</f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102</v>
      </c>
      <c r="B10" s="3">
        <v>-350</v>
      </c>
      <c r="C10" s="6">
        <v>-350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 t="s">
        <v>103</v>
      </c>
      <c r="B11" s="3">
        <v>2000</v>
      </c>
      <c r="C11" s="10">
        <f>SUM(C8:C10)</f>
        <v>1650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41</v>
      </c>
      <c r="B8" s="3">
        <v>10000</v>
      </c>
      <c r="C8" s="8">
        <f>'06_売上高'!C12</f>
        <v>10504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43</v>
      </c>
      <c r="B9" s="3">
        <v>-7000</v>
      </c>
      <c r="C9" s="8">
        <f>-'07_原価'!C12</f>
        <v>-7210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45</v>
      </c>
      <c r="B10" s="3">
        <v>3000</v>
      </c>
      <c r="C10" s="10">
        <f>SUM(C8:C9)</f>
        <v>3294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 t="s">
        <v>47</v>
      </c>
      <c r="B11" s="3">
        <v>-1800</v>
      </c>
      <c r="C11" s="10">
        <f>-1850</f>
        <v>-1850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 t="s">
        <v>49</v>
      </c>
      <c r="B12" s="3">
        <v>1500</v>
      </c>
      <c r="C12" s="10">
        <f>C10+C11-'10_固定資産'!C10</f>
        <v>1738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 t="s">
        <v>51</v>
      </c>
      <c r="B13" s="3">
        <v>-300</v>
      </c>
      <c r="C13" s="8">
        <f>'10_固定資産'!C10</f>
        <v>-294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 t="s">
        <v>52</v>
      </c>
      <c r="B14" s="3">
        <v>1200</v>
      </c>
      <c r="C14" s="10">
        <f>SUM(C12:C13)</f>
        <v>1444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 t="s">
        <v>105</v>
      </c>
      <c r="B15" s="3">
        <v>-30</v>
      </c>
      <c r="C15" s="10">
        <f>-AVERAGE('11_借入金'!C8,'11_借入金'!C11)*1.2%</f>
        <v>-21.9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 t="s">
        <v>106</v>
      </c>
      <c r="B16" s="3">
        <v>1170</v>
      </c>
      <c r="C16" s="10">
        <f>SUM(C14:C15)</f>
        <v>1422.1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 t="s">
        <v>107</v>
      </c>
      <c r="B17" s="3">
        <v>-351</v>
      </c>
      <c r="C17" s="10">
        <f>-MAX(0,C16*30%)</f>
        <v>-426.6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 t="s">
        <v>108</v>
      </c>
      <c r="B18" s="3">
        <v>819</v>
      </c>
      <c r="C18" s="10">
        <f>SUM(C16:C17)</f>
        <v>995.5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42</v>
      </c>
      <c r="B8" s="3">
        <v>600</v>
      </c>
      <c r="C8" s="8">
        <f>'14_CF'!C20</f>
        <v>1047.3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44</v>
      </c>
      <c r="B9" s="3">
        <v>1500</v>
      </c>
      <c r="C9" s="8">
        <f>'09_運転資本'!C8</f>
        <v>1582.8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46</v>
      </c>
      <c r="B10" s="3">
        <v>1200</v>
      </c>
      <c r="C10" s="8">
        <f>'09_運転資本'!C9</f>
        <v>1244.7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 t="s">
        <v>110</v>
      </c>
      <c r="B11" s="3">
        <v>2940</v>
      </c>
      <c r="C11" s="8">
        <f>'10_固定資産'!C11</f>
        <v>3296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 t="s">
        <v>111</v>
      </c>
      <c r="B12" s="3">
        <v>760</v>
      </c>
      <c r="C12" s="10">
        <f>B12</f>
        <v>760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 t="s">
        <v>112</v>
      </c>
      <c r="B13" s="3">
        <v>7000</v>
      </c>
      <c r="C13" s="10">
        <f>SUM(C8:C12)</f>
        <v>7930.8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 t="s">
        <v>48</v>
      </c>
      <c r="B14" s="3">
        <v>900</v>
      </c>
      <c r="C14" s="8">
        <f>'09_運転資本'!C10</f>
        <v>928.5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 t="s">
        <v>50</v>
      </c>
      <c r="B15" s="3">
        <v>2000</v>
      </c>
      <c r="C15" s="8">
        <f>'11_借入金'!C11</f>
        <v>1650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 t="s">
        <v>113</v>
      </c>
      <c r="B16" s="3">
        <v>1100</v>
      </c>
      <c r="C16" s="10">
        <f>B16</f>
        <v>1100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 t="s">
        <v>114</v>
      </c>
      <c r="B17" s="3">
        <v>1500</v>
      </c>
      <c r="C17" s="10">
        <f>B17</f>
        <v>1500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 t="s">
        <v>115</v>
      </c>
      <c r="B18" s="3">
        <v>1500</v>
      </c>
      <c r="C18" s="10">
        <f>B18+'12_PL'!C18</f>
        <v>2495.5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 t="s">
        <v>116</v>
      </c>
      <c r="B19" s="3">
        <v>7000</v>
      </c>
      <c r="C19" s="10">
        <f>SUM(C14:C18)</f>
        <v>7674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11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108</v>
      </c>
      <c r="B8" s="3">
        <v>819</v>
      </c>
      <c r="C8" s="8">
        <f>'12_PL'!C18</f>
        <v>995.5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51</v>
      </c>
      <c r="B9" s="3">
        <v>300</v>
      </c>
      <c r="C9" s="8">
        <f>-'10_固定資産'!C10</f>
        <v>294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118</v>
      </c>
      <c r="B10" s="3">
        <v>-100</v>
      </c>
      <c r="C10" s="10">
        <f>-('09_運転資本'!C8-B9)-('09_運転資本'!C9-B10)+('09_運転資本'!C10-B14)</f>
        <v>-399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 t="s">
        <v>119</v>
      </c>
      <c r="B12" s="3">
        <v>1019</v>
      </c>
      <c r="C12" s="10">
        <f>SUM(C8:C10)</f>
        <v>890.5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 t="s">
        <v>98</v>
      </c>
      <c r="B14" s="3">
        <v>-600</v>
      </c>
      <c r="C14" s="8">
        <f>-'10_固定資産'!C9</f>
        <v>-650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 t="s">
        <v>120</v>
      </c>
      <c r="B16" s="3">
        <v>-350</v>
      </c>
      <c r="C16" s="8">
        <f>'11_借入金'!C9+'11_借入金'!C10</f>
        <v>-350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 t="s">
        <v>121</v>
      </c>
      <c r="B19" s="3">
        <v>69</v>
      </c>
      <c r="C19" s="10">
        <f>SUM(C12,C14,C16)</f>
        <v>-109.5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 t="s">
        <v>122</v>
      </c>
      <c r="B20" s="3">
        <v>1156.8</v>
      </c>
      <c r="C20" s="10">
        <f>B20+C19</f>
        <v>1047.3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123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124</v>
      </c>
      <c r="B4" s="4" t="s">
        <v>39</v>
      </c>
      <c r="C4" s="4" t="s">
        <v>82</v>
      </c>
      <c r="D4" s="4" t="s">
        <v>83</v>
      </c>
      <c r="E4" s="4" t="s">
        <v>84</v>
      </c>
      <c r="F4" s="4" t="s">
        <v>85</v>
      </c>
      <c r="G4" s="4" t="s">
        <v>86</v>
      </c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41</v>
      </c>
      <c r="B8" s="8">
        <f>'12_PL'!B8</f>
        <v>10000</v>
      </c>
      <c r="C8" s="8">
        <f>'12_PL'!C8</f>
        <v>10504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52</v>
      </c>
      <c r="B9" s="8">
        <f>'12_PL'!B14</f>
        <v>1200</v>
      </c>
      <c r="C9" s="8">
        <f>'12_PL'!C14</f>
        <v>1444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122</v>
      </c>
      <c r="B10" s="8">
        <f>'13_BS'!B8</f>
        <v>600</v>
      </c>
      <c r="C10" s="8">
        <f>'13_BS'!C8</f>
        <v>1047.3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125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126</v>
      </c>
      <c r="B4" s="4" t="s">
        <v>127</v>
      </c>
      <c r="C4" s="4" t="s">
        <v>128</v>
      </c>
      <c r="D4" s="4" t="s">
        <v>8</v>
      </c>
      <c r="E4" s="4" t="s">
        <v>129</v>
      </c>
      <c r="F4" s="3"/>
      <c r="G4" s="3"/>
      <c r="H4" s="3"/>
      <c r="I4" s="3"/>
      <c r="J4" s="3"/>
      <c r="K4" s="3"/>
      <c r="L4" s="3"/>
      <c r="M4" s="3"/>
      <c r="N4" s="3"/>
    </row>
    <row r="5" spans="1:14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 t="s">
        <v>130</v>
      </c>
      <c r="B8" s="3" t="s">
        <v>131</v>
      </c>
      <c r="C8" s="3">
        <v>0</v>
      </c>
      <c r="D8" s="11" t="s">
        <v>132</v>
      </c>
      <c r="E8" s="3" t="s">
        <v>109</v>
      </c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 t="s">
        <v>133</v>
      </c>
      <c r="B9" s="3" t="s">
        <v>131</v>
      </c>
      <c r="C9" s="3">
        <v>0</v>
      </c>
      <c r="D9" s="11" t="s">
        <v>132</v>
      </c>
      <c r="E9" s="3" t="s">
        <v>134</v>
      </c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 t="s">
        <v>135</v>
      </c>
      <c r="B10" s="3" t="s">
        <v>136</v>
      </c>
      <c r="C10" s="3">
        <v>0</v>
      </c>
      <c r="D10" s="11" t="s">
        <v>132</v>
      </c>
      <c r="E10" s="3" t="s">
        <v>137</v>
      </c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 t="s">
        <v>138</v>
      </c>
      <c r="B11" s="3" t="s">
        <v>139</v>
      </c>
      <c r="C11" s="3">
        <v>0</v>
      </c>
      <c r="D11" s="11" t="s">
        <v>132</v>
      </c>
      <c r="E11" s="3" t="s">
        <v>63</v>
      </c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 t="s">
        <v>140</v>
      </c>
      <c r="B12" s="3" t="s">
        <v>141</v>
      </c>
      <c r="C12" s="3" t="s">
        <v>142</v>
      </c>
      <c r="D12" s="11" t="s">
        <v>9</v>
      </c>
      <c r="E12" s="3" t="s">
        <v>137</v>
      </c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137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54</v>
      </c>
      <c r="B4" s="4" t="s">
        <v>143</v>
      </c>
      <c r="C4" s="4" t="s">
        <v>144</v>
      </c>
      <c r="D4" s="4" t="s">
        <v>145</v>
      </c>
      <c r="E4" s="4" t="s">
        <v>146</v>
      </c>
      <c r="F4" s="4" t="s">
        <v>147</v>
      </c>
      <c r="G4" s="4" t="s">
        <v>148</v>
      </c>
      <c r="H4" s="4" t="s">
        <v>149</v>
      </c>
      <c r="I4" s="3"/>
      <c r="J4" s="3"/>
      <c r="K4" s="3"/>
      <c r="L4" s="3"/>
      <c r="M4" s="3"/>
      <c r="N4" s="3"/>
    </row>
    <row r="5" spans="1:14" x14ac:dyDescent="0.25">
      <c r="A5" s="3">
        <v>1</v>
      </c>
      <c r="B5" s="3" t="s">
        <v>150</v>
      </c>
      <c r="C5" s="3" t="s">
        <v>151</v>
      </c>
      <c r="D5" s="3" t="s">
        <v>152</v>
      </c>
      <c r="E5" s="3" t="s">
        <v>153</v>
      </c>
      <c r="F5" s="3" t="s">
        <v>154</v>
      </c>
      <c r="G5" s="3" t="s">
        <v>155</v>
      </c>
      <c r="H5" s="3" t="s">
        <v>156</v>
      </c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14" width="16" customWidth="1"/>
  </cols>
  <sheetData>
    <row r="1" spans="1:14" x14ac:dyDescent="0.25">
      <c r="A1" s="1" t="s">
        <v>157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158</v>
      </c>
      <c r="B4" s="4" t="s">
        <v>159</v>
      </c>
      <c r="C4" s="4" t="s">
        <v>160</v>
      </c>
      <c r="D4" s="4" t="s">
        <v>161</v>
      </c>
      <c r="E4" s="4" t="s">
        <v>162</v>
      </c>
      <c r="F4" s="4" t="s">
        <v>163</v>
      </c>
      <c r="G4" s="3"/>
      <c r="H4" s="3"/>
      <c r="I4" s="3"/>
      <c r="J4" s="3"/>
      <c r="K4" s="3"/>
      <c r="L4" s="3"/>
      <c r="M4" s="3"/>
      <c r="N4" s="3"/>
    </row>
    <row r="5" spans="1:14" x14ac:dyDescent="0.25">
      <c r="A5" s="3" t="s">
        <v>164</v>
      </c>
      <c r="B5" s="3" t="s">
        <v>165</v>
      </c>
      <c r="C5" s="3" t="s">
        <v>166</v>
      </c>
      <c r="D5" s="3" t="s">
        <v>167</v>
      </c>
      <c r="E5" s="3" t="s">
        <v>168</v>
      </c>
      <c r="F5" s="3" t="s">
        <v>169</v>
      </c>
      <c r="G5" s="3"/>
      <c r="H5" s="3"/>
      <c r="I5" s="3"/>
      <c r="J5" s="3"/>
      <c r="K5" s="3"/>
      <c r="L5" s="3"/>
      <c r="M5" s="3"/>
      <c r="N5" s="3"/>
    </row>
    <row r="6" spans="1:14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14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</sheetData>
  <mergeCells count="2">
    <mergeCell ref="A1:N1"/>
    <mergeCell ref="A2:N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00_表紙</vt:lpstr>
      <vt:lpstr>01_管理</vt:lpstr>
      <vt:lpstr>02_資料管理</vt:lpstr>
      <vt:lpstr>03_実績財務諸表</vt:lpstr>
      <vt:lpstr>04_正常化調整</vt:lpstr>
      <vt:lpstr>05_前提条件</vt:lpstr>
      <vt:lpstr>06_売上高</vt:lpstr>
      <vt:lpstr>07_原価</vt:lpstr>
      <vt:lpstr>08_人員</vt:lpstr>
      <vt:lpstr>09_運転資本</vt:lpstr>
      <vt:lpstr>10_固定資産</vt:lpstr>
      <vt:lpstr>11_借入金</vt:lpstr>
      <vt:lpstr>12_PL</vt:lpstr>
      <vt:lpstr>13_BS</vt:lpstr>
      <vt:lpstr>14_CF</vt:lpstr>
      <vt:lpstr>15_出力</vt:lpstr>
      <vt:lpstr>16_チェック</vt:lpstr>
      <vt:lpstr>17_指摘事項</vt:lpstr>
      <vt:lpstr>18_変更履歴</vt:lpstr>
    </vt:vector>
  </TitlesOfParts>
  <Company>Finance Modeling Lab 編集部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2026-07-25T00:00:00Z</dcterms:modified>
</cp:coreProperties>
</file>