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表紙" state="visible" r:id="rId4"/>
    <sheet sheetId="2" name="01_管理" state="visible" r:id="rId5"/>
    <sheet sheetId="3" name="02_資料管理" state="visible" r:id="rId6"/>
    <sheet sheetId="4" name="03_実績財務諸表" state="visible" r:id="rId7"/>
    <sheet sheetId="5" name="04_正常化調整" state="visible" r:id="rId8"/>
    <sheet sheetId="6" name="05_前提条件" state="visible" r:id="rId9"/>
    <sheet sheetId="7" name="06_売上高" state="visible" r:id="rId10"/>
    <sheet sheetId="8" name="07_原価" state="visible" r:id="rId11"/>
    <sheet sheetId="9" name="08_人員" state="visible" r:id="rId12"/>
    <sheet sheetId="10" name="09_運転資本" state="visible" r:id="rId13"/>
    <sheet sheetId="11" name="10_固定資産" state="visible" r:id="rId14"/>
    <sheet sheetId="12" name="11_借入金" state="visible" r:id="rId15"/>
    <sheet sheetId="13" name="12_PL" state="visible" r:id="rId16"/>
    <sheet sheetId="14" name="13_BS" state="visible" r:id="rId17"/>
    <sheet sheetId="15" name="14_CF" state="visible" r:id="rId18"/>
    <sheet sheetId="16" name="15_出力" state="visible" r:id="rId19"/>
    <sheet sheetId="17" name="16_チェック" state="visible" r:id="rId20"/>
    <sheet sheetId="18" name="17_指摘事項" state="visible" r:id="rId21"/>
    <sheet sheetId="19" name="18_変更履歴" state="visible" r:id="rId22"/>
  </sheets>
  <definedNames>
    <definedName name="_xlnm.Print_Area" localSheetId="0">'00_表紙'!$A1:$Q60</definedName>
    <definedName name="_xlnm.Print_Area" localSheetId="1">'01_管理'!$A1:$Q60</definedName>
    <definedName name="_xlnm.Print_Area" localSheetId="2">'02_資料管理'!$A1:$Q60</definedName>
    <definedName name="_xlnm.Print_Area" localSheetId="3">'03_実績財務諸表'!$A1:$Q60</definedName>
    <definedName name="_xlnm.Print_Area" localSheetId="4">'04_正常化調整'!$A1:$Q60</definedName>
    <definedName name="_xlnm.Print_Area" localSheetId="5">'05_前提条件'!$A1:$Q60</definedName>
    <definedName name="_xlnm.Print_Area" localSheetId="6">'06_売上高'!$A1:$Q60</definedName>
    <definedName name="_xlnm.Print_Area" localSheetId="7">'07_原価'!$A1:$Q60</definedName>
    <definedName name="_xlnm.Print_Area" localSheetId="8">'08_人員'!$A1:$Q60</definedName>
    <definedName name="_xlnm.Print_Area" localSheetId="9">'09_運転資本'!$A1:$Q60</definedName>
    <definedName name="_xlnm.Print_Area" localSheetId="10">'10_固定資産'!$A1:$Q60</definedName>
    <definedName name="_xlnm.Print_Area" localSheetId="11">'11_借入金'!$A1:$Q60</definedName>
    <definedName name="_xlnm.Print_Area" localSheetId="12">'12_PL'!$A1:$Q60</definedName>
    <definedName name="_xlnm.Print_Area" localSheetId="13">'13_BS'!$A1:$Q60</definedName>
    <definedName name="_xlnm.Print_Area" localSheetId="14">'14_CF'!$A1:$Q60</definedName>
    <definedName name="_xlnm.Print_Area" localSheetId="15">'15_出力'!$A1:$Q60</definedName>
    <definedName name="_xlnm.Print_Area" localSheetId="16">'16_チェック'!$A1:$Q60</definedName>
    <definedName name="_xlnm.Print_Area" localSheetId="17">'17_指摘事項'!$A1:$Q60</definedName>
    <definedName name="_xlnm.Print_Area" localSheetId="18">'18_変更履歴'!$A1:$Q60</definedName>
  </definedNames>
  <calcPr calcId="171027" fullCalcOnLoad="1"/>
</workbook>
</file>

<file path=xl/sharedStrings.xml><?xml version="1.0" encoding="utf-8"?>
<sst xmlns="http://schemas.openxmlformats.org/spreadsheetml/2006/main" count="365" uniqueCount="205">
  <si>
    <t>00_表紙</t>
  </si>
  <si>
    <t>東都精密工業株式会社｜完成三表モデル｜単位：百万円</t>
  </si>
  <si>
    <t>会社名</t>
  </si>
  <si>
    <t>東都精密工業株式会社</t>
  </si>
  <si>
    <t>モデル目的</t>
  </si>
  <si>
    <t>事業計画、資金繰り、財務三表の検証</t>
  </si>
  <si>
    <t>基準日</t>
  </si>
  <si>
    <t>2025/03/31</t>
  </si>
  <si>
    <t>計算整合性</t>
  </si>
  <si>
    <t>意思決定への利用可否</t>
  </si>
  <si>
    <t>教育用・実案件への利用不可</t>
  </si>
  <si>
    <t>01_管理</t>
  </si>
  <si>
    <t>項目</t>
  </si>
  <si>
    <t>設定値</t>
  </si>
  <si>
    <t>説明</t>
  </si>
  <si>
    <t>選択シナリオ</t>
  </si>
  <si>
    <t>Base</t>
  </si>
  <si>
    <t>単位</t>
  </si>
  <si>
    <t>百万円</t>
  </si>
  <si>
    <t>最低現預金</t>
  </si>
  <si>
    <t>計算順序</t>
  </si>
  <si>
    <t>前提→売上高・人員・原価・固定資産→PL→運転資本→CF→借入金→BS</t>
  </si>
  <si>
    <t>02_資料管理</t>
  </si>
  <si>
    <t>資料番号</t>
  </si>
  <si>
    <t>資料名</t>
  </si>
  <si>
    <t>使用シート</t>
  </si>
  <si>
    <t>主要セル</t>
  </si>
  <si>
    <t>状況</t>
  </si>
  <si>
    <t>参照先セル</t>
  </si>
  <si>
    <t>S-01</t>
  </si>
  <si>
    <t>月次試算表</t>
  </si>
  <si>
    <t>03_実績財務諸表</t>
  </si>
  <si>
    <t>B8:D30</t>
  </si>
  <si>
    <t>確認済</t>
  </si>
  <si>
    <t>12_PL!B8:B18 / 13_BS!B8:B19</t>
  </si>
  <si>
    <t>S-02</t>
  </si>
  <si>
    <t>固定資産台帳</t>
  </si>
  <si>
    <t>10_固定資産</t>
  </si>
  <si>
    <t>B8:G11</t>
  </si>
  <si>
    <t>差異60を調整済</t>
  </si>
  <si>
    <t>10_固定資産!B8:B11</t>
  </si>
  <si>
    <t>S-03</t>
  </si>
  <si>
    <t>借入金明細</t>
  </si>
  <si>
    <t>11_借入金</t>
  </si>
  <si>
    <t>差異50を調整済</t>
  </si>
  <si>
    <t>11_借入金!B8:B11</t>
  </si>
  <si>
    <t>S-04</t>
  </si>
  <si>
    <t>勘定科目対応表</t>
  </si>
  <si>
    <t>全主要科目</t>
  </si>
  <si>
    <t>03_実績財務諸表!B8:D19</t>
  </si>
  <si>
    <t>PL</t>
  </si>
  <si>
    <t>2025年3月期</t>
  </si>
  <si>
    <t>BS</t>
  </si>
  <si>
    <t>売上高</t>
  </si>
  <si>
    <t>現預金</t>
  </si>
  <si>
    <t>売上原価</t>
  </si>
  <si>
    <t>売掛金</t>
  </si>
  <si>
    <t>売上総利益</t>
  </si>
  <si>
    <t>棚卸資産</t>
  </si>
  <si>
    <t>販売費及び一般管理費</t>
  </si>
  <si>
    <t>固定資産</t>
  </si>
  <si>
    <t>EBITDA</t>
  </si>
  <si>
    <t>その他資産</t>
  </si>
  <si>
    <t>減価償却費</t>
  </si>
  <si>
    <t>資産合計</t>
  </si>
  <si>
    <t>営業利益</t>
  </si>
  <si>
    <t>買掛金</t>
  </si>
  <si>
    <t>支払利息</t>
  </si>
  <si>
    <t>有利子負債</t>
  </si>
  <si>
    <t>税引前当期純利益</t>
  </si>
  <si>
    <t>その他負債</t>
  </si>
  <si>
    <t>法人税等</t>
  </si>
  <si>
    <t>資本金等</t>
  </si>
  <si>
    <t>当期純利益</t>
  </si>
  <si>
    <t>利益剰余金</t>
  </si>
  <si>
    <t>負債・純資産合計</t>
  </si>
  <si>
    <t>04_正常化調整</t>
  </si>
  <si>
    <t>番号</t>
  </si>
  <si>
    <t>金額</t>
  </si>
  <si>
    <t>PL影響</t>
  </si>
  <si>
    <t>根拠</t>
  </si>
  <si>
    <t>採否</t>
  </si>
  <si>
    <t>役員退職金</t>
  </si>
  <si>
    <t>加算</t>
  </si>
  <si>
    <t>退任役員1名の一過性費用</t>
  </si>
  <si>
    <t>採用</t>
  </si>
  <si>
    <t>05_前提条件</t>
  </si>
  <si>
    <t>前提項目</t>
  </si>
  <si>
    <t>Upside</t>
  </si>
  <si>
    <t>Downside</t>
  </si>
  <si>
    <t>選択値</t>
  </si>
  <si>
    <t>出所・根拠</t>
  </si>
  <si>
    <t>販売数量成長率</t>
  </si>
  <si>
    <t>%</t>
  </si>
  <si>
    <t>受注計画・営業ヒアリング</t>
  </si>
  <si>
    <t>平均販売単価上昇率</t>
  </si>
  <si>
    <t>価格改定方針</t>
  </si>
  <si>
    <t>材料費率</t>
  </si>
  <si>
    <t>購買計画</t>
  </si>
  <si>
    <t>売掛金回転日数</t>
  </si>
  <si>
    <t>日</t>
  </si>
  <si>
    <t>得意先別回収条件</t>
  </si>
  <si>
    <t>棚卸資産回転日数</t>
  </si>
  <si>
    <t>在庫方針</t>
  </si>
  <si>
    <t>買掛金回転日数</t>
  </si>
  <si>
    <t>仕入先別支払条件</t>
  </si>
  <si>
    <t>人員増加率</t>
  </si>
  <si>
    <t>人員計画</t>
  </si>
  <si>
    <t>一人当たり人件費上昇率</t>
  </si>
  <si>
    <t>給与改定方針</t>
  </si>
  <si>
    <t>その他製造費率</t>
  </si>
  <si>
    <t>製造費実績</t>
  </si>
  <si>
    <t>販売費及び一般管理費率</t>
  </si>
  <si>
    <t>部門別予算</t>
  </si>
  <si>
    <t>実効税率</t>
  </si>
  <si>
    <t>簡略化した教育用前提</t>
  </si>
  <si>
    <t>借入金利</t>
  </si>
  <si>
    <t>設備投資</t>
  </si>
  <si>
    <t>設備投資計画（初年度。以降は年度別計画）</t>
  </si>
  <si>
    <t>約定返済</t>
  </si>
  <si>
    <t>借入金明細（初年度。以降は年度別計画）</t>
  </si>
  <si>
    <t>06_売上高</t>
  </si>
  <si>
    <t>2026年3月期</t>
  </si>
  <si>
    <t>2027年3月期</t>
  </si>
  <si>
    <t>2028年3月期</t>
  </si>
  <si>
    <t>2029年3月期</t>
  </si>
  <si>
    <t>2030年3月期</t>
  </si>
  <si>
    <t>販売数量</t>
  </si>
  <si>
    <t>平均販売単価</t>
  </si>
  <si>
    <t>07_原価</t>
  </si>
  <si>
    <t>材料費</t>
  </si>
  <si>
    <t>労務費</t>
  </si>
  <si>
    <t>その他製造費</t>
  </si>
  <si>
    <t>08_人員</t>
  </si>
  <si>
    <t>平均人員</t>
  </si>
  <si>
    <t>一人当たり人件費</t>
  </si>
  <si>
    <t>人件費</t>
  </si>
  <si>
    <t>09_運転資本</t>
  </si>
  <si>
    <t>期首帳簿価額</t>
  </si>
  <si>
    <t>期末帳簿価額</t>
  </si>
  <si>
    <t>期首借入金</t>
  </si>
  <si>
    <t>新規借入</t>
  </si>
  <si>
    <t>返済</t>
  </si>
  <si>
    <t>期末借入金</t>
  </si>
  <si>
    <t>12_PL</t>
  </si>
  <si>
    <t>13_BS</t>
  </si>
  <si>
    <t>14_CF</t>
  </si>
  <si>
    <t>運転資本増減</t>
  </si>
  <si>
    <t>営業CF</t>
  </si>
  <si>
    <t>借入金増減</t>
  </si>
  <si>
    <t>現預金増減</t>
  </si>
  <si>
    <t>期末現預金</t>
  </si>
  <si>
    <t>15_出力</t>
  </si>
  <si>
    <t>貸借差額</t>
  </si>
  <si>
    <t>EBITDAマージン</t>
  </si>
  <si>
    <t>純有利子負債</t>
  </si>
  <si>
    <t>最低現預金余裕額</t>
  </si>
  <si>
    <t>16_チェック</t>
  </si>
  <si>
    <t>確認項目</t>
  </si>
  <si>
    <t>基準</t>
  </si>
  <si>
    <t>差額・件数</t>
  </si>
  <si>
    <t>判定</t>
  </si>
  <si>
    <t>対応先</t>
  </si>
  <si>
    <t>貸借一致</t>
  </si>
  <si>
    <t>最大差額0.1未満</t>
  </si>
  <si>
    <t>CF・BS現預金一致</t>
  </si>
  <si>
    <t>13_BS / 14_CF</t>
  </si>
  <si>
    <t>固定資産ロールフォワード</t>
  </si>
  <si>
    <t>借入金ロールフォワード</t>
  </si>
  <si>
    <t>予測期間の空欄</t>
  </si>
  <si>
    <t>0件</t>
  </si>
  <si>
    <t>12_PL / 13_BS / 14_CF</t>
  </si>
  <si>
    <t>Critical未対応</t>
  </si>
  <si>
    <t>17_指摘事項</t>
  </si>
  <si>
    <t>重要前提の根拠</t>
  </si>
  <si>
    <t>空欄なし</t>
  </si>
  <si>
    <t>提出可否</t>
  </si>
  <si>
    <t>不適合なし、Majorは留意点として明示</t>
  </si>
  <si>
    <t>シート・セル</t>
  </si>
  <si>
    <t>重要度</t>
  </si>
  <si>
    <t>指摘事項</t>
  </si>
  <si>
    <t>担当者</t>
  </si>
  <si>
    <t>期限</t>
  </si>
  <si>
    <t>対応状況</t>
  </si>
  <si>
    <t>確認者</t>
  </si>
  <si>
    <t>05_前提条件!F12</t>
  </si>
  <si>
    <t>Major</t>
  </si>
  <si>
    <t>Downsideの在庫日数は追加ヒアリング後に更新</t>
  </si>
  <si>
    <t>モデル担当</t>
  </si>
  <si>
    <t>2026/07/31</t>
  </si>
  <si>
    <t>留意点として明示</t>
  </si>
  <si>
    <t>レビュー担当</t>
  </si>
  <si>
    <t>18_変更履歴</t>
  </si>
  <si>
    <t>版</t>
  </si>
  <si>
    <t>更新日</t>
  </si>
  <si>
    <t>更新者</t>
  </si>
  <si>
    <t>変更内容</t>
  </si>
  <si>
    <t>影響範囲</t>
  </si>
  <si>
    <t>再確認</t>
  </si>
  <si>
    <t>v1.1</t>
  </si>
  <si>
    <t>2026/07/25</t>
  </si>
  <si>
    <t>Finance Modeling Lab 編集部</t>
  </si>
  <si>
    <t>5年連動、貸借一致、数式チェック、勘定科目対応を修正</t>
  </si>
  <si>
    <t>全シート</t>
  </si>
  <si>
    <t>主要チェック適合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</si>
</sst>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Yu Gothic"/>
    </font>
    <font>
      <color rgb="FF147D73"/>
      <name val="Yu Gothic"/>
    </font>
    <font>
      <sz val="10"/>
      <name val="Yu Gothic"/>
    </font>
    <font>
      <color rgb="FFFFFFFF"/>
      <sz val="10"/>
      <name val="Yu Gothic"/>
    </font>
    <font>
      <color rgb="FF1F4E78"/>
      <sz val="10"/>
      <name val="Yu Gothic"/>
    </font>
  </fonts>
  <fills count="8">
    <fill>
      <patternFill patternType="none"/>
    </fill>
    <fill>
      <patternFill patternType="gray125"/>
    </fill>
    <fill>
      <patternFill patternType="solid">
        <fgColor rgb="FF102235"/>
      </patternFill>
    </fill>
    <fill>
      <patternFill patternType="solid">
        <fgColor rgb="FFE6F4EA"/>
      </patternFill>
    </fill>
    <fill>
      <patternFill patternType="solid">
        <fgColor rgb="FF147D73"/>
      </patternFill>
    </fill>
    <fill>
      <patternFill patternType="solid">
        <fgColor rgb="FFE7F0FF"/>
      </patternFill>
    </fill>
    <fill>
      <patternFill patternType="solid">
        <fgColor rgb="FFE9F6E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E0E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164" fontId="5" fillId="5" borderId="1" xfId="0" applyNumberFormat="1" applyFont="1" applyFill="1" applyBorder="1" applyAlignment="1">
      <alignment vertical="top" wrapText="1"/>
    </xf>
    <xf numFmtId="165" fontId="5" fillId="5" borderId="1" xfId="0" applyNumberFormat="1" applyFont="1" applyFill="1" applyBorder="1" applyAlignment="1">
      <alignment vertical="top" wrapText="1"/>
    </xf>
    <xf numFmtId="164" fontId="3" fillId="6" borderId="1" xfId="0" applyNumberFormat="1" applyFont="1" applyFill="1" applyBorder="1" applyAlignment="1">
      <alignment vertical="top" wrapText="1"/>
    </xf>
    <xf numFmtId="3" fontId="5" fillId="5" borderId="1" xfId="0" applyNumberFormat="1" applyFont="1" applyFill="1" applyBorder="1" applyAlignment="1">
      <alignment vertical="top" wrapText="1"/>
    </xf>
    <xf numFmtId="164" fontId="3" fillId="7" borderId="1" xfId="0" applyNumberFormat="1" applyFont="1" applyFill="1" applyBorder="1" applyAlignment="1">
      <alignment vertical="top" wrapText="1"/>
    </xf>
    <xf numFmtId="164" fontId="3" fillId="3" borderId="1" xfId="0" applyNumberFormat="1" applyFont="1" applyFill="1" applyBorder="1" applyAlignment="1">
      <alignment vertical="top" wrapText="1"/>
    </xf>
    <xf numFmtId="165" fontId="0" fillId="0" borderId="0" xfId="0" applyNumberFormat="1"/>
    <xf numFmtId="165" fontId="3" fillId="0" borderId="1" xfId="0" applyNumberFormat="1" applyFont="1" applyBorder="1" applyAlignment="1">
      <alignment vertical="top" wrapText="1"/>
    </xf>
    <xf numFmtId="165" fontId="3" fillId="6" borderId="1" xfId="0" applyNumberFormat="1" applyFont="1" applyFill="1" applyBorder="1" applyAlignment="1">
      <alignment vertical="top" wrapText="1"/>
    </xf>
    <xf numFmtId="165" fontId="3" fillId="7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7" width="16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 t="s">
        <v>2</v>
      </c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3" t="s">
        <v>4</v>
      </c>
      <c r="B4" s="3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 t="s">
        <v>6</v>
      </c>
      <c r="B5" s="3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3" t="s">
        <v>8</v>
      </c>
      <c r="B6" s="4" t="str">
        <f>IF(COUNTIF('16_チェック'!D8:D14,"不適合")=0,"適合","不適合")</f>
        <v>適合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3" t="s">
        <v>9</v>
      </c>
      <c r="B7" s="3" t="s">
        <v>10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</sheetData>
  <mergeCells count="2">
    <mergeCell ref="A1:Q1"/>
    <mergeCell ref="A2:Q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7" width="16" customWidth="1"/>
  </cols>
  <sheetData>
    <row r="1" spans="1:17" x14ac:dyDescent="0.25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5" t="s">
        <v>12</v>
      </c>
      <c r="B4" s="5" t="s">
        <v>13</v>
      </c>
      <c r="C4" s="5" t="s">
        <v>14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 t="s">
        <v>15</v>
      </c>
      <c r="B5" s="6" t="s">
        <v>16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3" t="s">
        <v>17</v>
      </c>
      <c r="B6" s="3" t="s">
        <v>18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3" t="s">
        <v>19</v>
      </c>
      <c r="B7" s="7">
        <v>500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3" t="s">
        <v>20</v>
      </c>
      <c r="B8" s="3" t="s">
        <v>21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</sheetData>
  <mergeCells count="2">
    <mergeCell ref="A1:Q1"/>
    <mergeCell ref="A2:Q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7" width="16" customWidth="1"/>
  </cols>
  <sheetData>
    <row r="1" spans="1:17" x14ac:dyDescent="0.25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5" t="s">
        <v>23</v>
      </c>
      <c r="B4" s="5" t="s">
        <v>24</v>
      </c>
      <c r="C4" s="5" t="s">
        <v>6</v>
      </c>
      <c r="D4" s="5" t="s">
        <v>25</v>
      </c>
      <c r="E4" s="5" t="s">
        <v>26</v>
      </c>
      <c r="F4" s="5" t="s">
        <v>27</v>
      </c>
      <c r="G4" s="5" t="s">
        <v>28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 t="s">
        <v>29</v>
      </c>
      <c r="B5" s="3" t="s">
        <v>30</v>
      </c>
      <c r="C5" s="3" t="s">
        <v>7</v>
      </c>
      <c r="D5" s="3" t="s">
        <v>31</v>
      </c>
      <c r="E5" s="3" t="s">
        <v>32</v>
      </c>
      <c r="F5" s="3" t="s">
        <v>33</v>
      </c>
      <c r="G5" s="3" t="s">
        <v>34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3" t="s">
        <v>35</v>
      </c>
      <c r="B6" s="3" t="s">
        <v>36</v>
      </c>
      <c r="C6" s="3" t="s">
        <v>7</v>
      </c>
      <c r="D6" s="3" t="s">
        <v>37</v>
      </c>
      <c r="E6" s="3" t="s">
        <v>38</v>
      </c>
      <c r="F6" s="3" t="s">
        <v>39</v>
      </c>
      <c r="G6" s="3" t="s">
        <v>40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3" t="s">
        <v>41</v>
      </c>
      <c r="B7" s="3" t="s">
        <v>42</v>
      </c>
      <c r="C7" s="3" t="s">
        <v>7</v>
      </c>
      <c r="D7" s="3" t="s">
        <v>43</v>
      </c>
      <c r="E7" s="3" t="s">
        <v>38</v>
      </c>
      <c r="F7" s="3" t="s">
        <v>44</v>
      </c>
      <c r="G7" s="3" t="s">
        <v>45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3" t="s">
        <v>46</v>
      </c>
      <c r="B8" s="3" t="s">
        <v>47</v>
      </c>
      <c r="C8" s="3" t="s">
        <v>7</v>
      </c>
      <c r="D8" s="3" t="s">
        <v>31</v>
      </c>
      <c r="E8" s="3" t="s">
        <v>48</v>
      </c>
      <c r="F8" s="3" t="s">
        <v>33</v>
      </c>
      <c r="G8" s="3" t="s">
        <v>49</v>
      </c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</sheetData>
  <mergeCells count="2">
    <mergeCell ref="A1:Q1"/>
    <mergeCell ref="A2:Q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7" width="16" customWidth="1"/>
  </cols>
  <sheetData>
    <row r="1" spans="1:17" x14ac:dyDescent="0.25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5" t="s">
        <v>50</v>
      </c>
      <c r="B4" s="5" t="s">
        <v>51</v>
      </c>
      <c r="C4" s="5" t="s">
        <v>52</v>
      </c>
      <c r="D4" s="5" t="s">
        <v>51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3" t="s">
        <v>53</v>
      </c>
      <c r="B8" s="3">
        <v>10000</v>
      </c>
      <c r="C8" s="3" t="s">
        <v>54</v>
      </c>
      <c r="D8" s="3">
        <v>600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 t="s">
        <v>55</v>
      </c>
      <c r="B9" s="3">
        <v>-7000</v>
      </c>
      <c r="C9" s="3" t="s">
        <v>56</v>
      </c>
      <c r="D9" s="3">
        <v>1500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3" t="s">
        <v>57</v>
      </c>
      <c r="B10" s="3">
        <v>3000</v>
      </c>
      <c r="C10" s="3" t="s">
        <v>58</v>
      </c>
      <c r="D10" s="3">
        <v>1200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3" t="s">
        <v>59</v>
      </c>
      <c r="B11" s="3">
        <v>-1500</v>
      </c>
      <c r="C11" s="3" t="s">
        <v>60</v>
      </c>
      <c r="D11" s="3">
        <v>2940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 t="s">
        <v>61</v>
      </c>
      <c r="B12" s="3">
        <v>1500</v>
      </c>
      <c r="C12" s="3" t="s">
        <v>62</v>
      </c>
      <c r="D12" s="3">
        <v>760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3" t="s">
        <v>63</v>
      </c>
      <c r="B13" s="3">
        <v>-300</v>
      </c>
      <c r="C13" s="3" t="s">
        <v>64</v>
      </c>
      <c r="D13" s="3">
        <v>7000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" t="s">
        <v>65</v>
      </c>
      <c r="B14" s="3">
        <v>1200</v>
      </c>
      <c r="C14" s="3" t="s">
        <v>66</v>
      </c>
      <c r="D14" s="3">
        <v>900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3" t="s">
        <v>67</v>
      </c>
      <c r="B15" s="3">
        <v>-30</v>
      </c>
      <c r="C15" s="3" t="s">
        <v>68</v>
      </c>
      <c r="D15" s="3">
        <v>2000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3" t="s">
        <v>69</v>
      </c>
      <c r="B16" s="3">
        <v>1170</v>
      </c>
      <c r="C16" s="3" t="s">
        <v>70</v>
      </c>
      <c r="D16" s="3">
        <v>1100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 t="s">
        <v>71</v>
      </c>
      <c r="B17" s="3">
        <v>-351</v>
      </c>
      <c r="C17" s="3" t="s">
        <v>72</v>
      </c>
      <c r="D17" s="3">
        <v>1500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 t="s">
        <v>73</v>
      </c>
      <c r="B18" s="3">
        <v>819</v>
      </c>
      <c r="C18" s="3" t="s">
        <v>74</v>
      </c>
      <c r="D18" s="3">
        <v>1500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/>
      <c r="B19" s="3"/>
      <c r="C19" s="3" t="s">
        <v>75</v>
      </c>
      <c r="D19" s="3">
        <v>7000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</sheetData>
  <mergeCells count="2">
    <mergeCell ref="A1:Q1"/>
    <mergeCell ref="A2:Q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7" width="16" customWidth="1"/>
  </cols>
  <sheetData>
    <row r="1" spans="1:17" x14ac:dyDescent="0.25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5" t="s">
        <v>77</v>
      </c>
      <c r="B4" s="5" t="s">
        <v>12</v>
      </c>
      <c r="C4" s="5" t="s">
        <v>78</v>
      </c>
      <c r="D4" s="5" t="s">
        <v>79</v>
      </c>
      <c r="E4" s="5" t="s">
        <v>80</v>
      </c>
      <c r="F4" s="5" t="s">
        <v>81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>
        <v>1</v>
      </c>
      <c r="B5" s="3" t="s">
        <v>82</v>
      </c>
      <c r="C5" s="3">
        <v>80</v>
      </c>
      <c r="D5" s="3" t="s">
        <v>83</v>
      </c>
      <c r="E5" s="3" t="s">
        <v>84</v>
      </c>
      <c r="F5" s="3" t="s">
        <v>85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</sheetData>
  <mergeCells count="2">
    <mergeCell ref="A1:Q1"/>
    <mergeCell ref="A2:Q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7" width="16" customWidth="1"/>
  </cols>
  <sheetData>
    <row r="1" spans="1:17" x14ac:dyDescent="0.25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5" t="s">
        <v>87</v>
      </c>
      <c r="B7" s="5" t="s">
        <v>17</v>
      </c>
      <c r="C7" s="5" t="s">
        <v>16</v>
      </c>
      <c r="D7" s="5" t="s">
        <v>88</v>
      </c>
      <c r="E7" s="5" t="s">
        <v>89</v>
      </c>
      <c r="F7" s="5" t="s">
        <v>90</v>
      </c>
      <c r="G7" s="5" t="s">
        <v>91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3" t="s">
        <v>92</v>
      </c>
      <c r="B8" s="3" t="s">
        <v>93</v>
      </c>
      <c r="C8" s="8">
        <v>0.04</v>
      </c>
      <c r="D8" s="8">
        <v>0.07</v>
      </c>
      <c r="E8" s="8">
        <v>-0.03</v>
      </c>
      <c r="F8" s="9">
        <f>INDEX(C8:E8,1,MATCH('01_管理'!$B$5,$C$7:$E$7,0))</f>
        <v>0.04</v>
      </c>
      <c r="G8" s="3" t="s">
        <v>94</v>
      </c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 t="s">
        <v>95</v>
      </c>
      <c r="B9" s="3" t="s">
        <v>93</v>
      </c>
      <c r="C9" s="8">
        <v>0.01</v>
      </c>
      <c r="D9" s="8">
        <v>0.02</v>
      </c>
      <c r="E9" s="8">
        <v>0</v>
      </c>
      <c r="F9" s="9">
        <f>INDEX(C9:E9,1,MATCH('01_管理'!$B$5,$C$7:$E$7,0))</f>
        <v>0.01</v>
      </c>
      <c r="G9" s="3" t="s">
        <v>96</v>
      </c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3" t="s">
        <v>97</v>
      </c>
      <c r="B10" s="3" t="s">
        <v>93</v>
      </c>
      <c r="C10" s="8">
        <v>0.42</v>
      </c>
      <c r="D10" s="8">
        <v>0.4</v>
      </c>
      <c r="E10" s="8">
        <v>0.46</v>
      </c>
      <c r="F10" s="9">
        <f>INDEX(C10:E10,1,MATCH('01_管理'!$B$5,$C$7:$E$7,0))</f>
        <v>0.42</v>
      </c>
      <c r="G10" s="3" t="s">
        <v>98</v>
      </c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3" t="s">
        <v>99</v>
      </c>
      <c r="B11" s="3" t="s">
        <v>100</v>
      </c>
      <c r="C11" s="10">
        <v>55</v>
      </c>
      <c r="D11" s="10">
        <v>52</v>
      </c>
      <c r="E11" s="10">
        <v>62</v>
      </c>
      <c r="F11" s="9">
        <f>INDEX(C11:E11,1,MATCH('01_管理'!$B$5,$C$7:$E$7,0))</f>
        <v>55</v>
      </c>
      <c r="G11" s="3" t="s">
        <v>101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 t="s">
        <v>102</v>
      </c>
      <c r="B12" s="3" t="s">
        <v>100</v>
      </c>
      <c r="C12" s="10">
        <v>63</v>
      </c>
      <c r="D12" s="10">
        <v>58</v>
      </c>
      <c r="E12" s="10">
        <v>75</v>
      </c>
      <c r="F12" s="9">
        <f>INDEX(C12:E12,1,MATCH('01_管理'!$B$5,$C$7:$E$7,0))</f>
        <v>63</v>
      </c>
      <c r="G12" s="3" t="s">
        <v>103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3" t="s">
        <v>104</v>
      </c>
      <c r="B13" s="3" t="s">
        <v>100</v>
      </c>
      <c r="C13" s="10">
        <v>47</v>
      </c>
      <c r="D13" s="10">
        <v>50</v>
      </c>
      <c r="E13" s="10">
        <v>42</v>
      </c>
      <c r="F13" s="9">
        <f>INDEX(C13:E13,1,MATCH('01_管理'!$B$5,$C$7:$E$7,0))</f>
        <v>47</v>
      </c>
      <c r="G13" s="3" t="s">
        <v>105</v>
      </c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" t="s">
        <v>106</v>
      </c>
      <c r="B14" s="3" t="s">
        <v>93</v>
      </c>
      <c r="C14" s="8">
        <v>0.02</v>
      </c>
      <c r="D14" s="8">
        <v>0.03</v>
      </c>
      <c r="E14" s="8">
        <v>0</v>
      </c>
      <c r="F14" s="9">
        <f>INDEX(C14:E14,1,MATCH('01_管理'!$B$5,$C$7:$E$7,0))</f>
        <v>0.02</v>
      </c>
      <c r="G14" s="3" t="s">
        <v>107</v>
      </c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3" t="s">
        <v>108</v>
      </c>
      <c r="B15" s="3" t="s">
        <v>93</v>
      </c>
      <c r="C15" s="8">
        <v>0.02</v>
      </c>
      <c r="D15" s="8">
        <v>0.02</v>
      </c>
      <c r="E15" s="8">
        <v>0.015</v>
      </c>
      <c r="F15" s="9">
        <f>INDEX(C15:E15,1,MATCH('01_管理'!$B$5,$C$7:$E$7,0))</f>
        <v>0.02</v>
      </c>
      <c r="G15" s="3" t="s">
        <v>109</v>
      </c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3" t="s">
        <v>110</v>
      </c>
      <c r="B16" s="3" t="s">
        <v>93</v>
      </c>
      <c r="C16" s="8">
        <v>0.14</v>
      </c>
      <c r="D16" s="8">
        <v>0.13</v>
      </c>
      <c r="E16" s="8">
        <v>0.15</v>
      </c>
      <c r="F16" s="9">
        <f>INDEX(C16:E16,1,MATCH('01_管理'!$B$5,$C$7:$E$7,0))</f>
        <v>0.14</v>
      </c>
      <c r="G16" s="3" t="s">
        <v>111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 t="s">
        <v>112</v>
      </c>
      <c r="B17" s="3" t="s">
        <v>93</v>
      </c>
      <c r="C17" s="8">
        <v>0.15</v>
      </c>
      <c r="D17" s="8">
        <v>0.145</v>
      </c>
      <c r="E17" s="8">
        <v>0.16</v>
      </c>
      <c r="F17" s="9">
        <f>INDEX(C17:E17,1,MATCH('01_管理'!$B$5,$C$7:$E$7,0))</f>
        <v>0.15</v>
      </c>
      <c r="G17" s="3" t="s">
        <v>113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 t="s">
        <v>114</v>
      </c>
      <c r="B18" s="3" t="s">
        <v>93</v>
      </c>
      <c r="C18" s="8">
        <v>0.3</v>
      </c>
      <c r="D18" s="8">
        <v>0.3</v>
      </c>
      <c r="E18" s="8">
        <v>0.3</v>
      </c>
      <c r="F18" s="9">
        <f>INDEX(C18:E18,1,MATCH('01_管理'!$B$5,$C$7:$E$7,0))</f>
        <v>0.3</v>
      </c>
      <c r="G18" s="3" t="s">
        <v>115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 t="s">
        <v>116</v>
      </c>
      <c r="B19" s="3" t="s">
        <v>93</v>
      </c>
      <c r="C19" s="8">
        <v>0.012</v>
      </c>
      <c r="D19" s="8">
        <v>0.012</v>
      </c>
      <c r="E19" s="8">
        <v>0.015</v>
      </c>
      <c r="F19" s="9">
        <f>INDEX(C19:E19,1,MATCH('01_管理'!$B$5,$C$7:$E$7,0))</f>
        <v>0.012</v>
      </c>
      <c r="G19" s="3" t="s">
        <v>42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 t="s">
        <v>117</v>
      </c>
      <c r="B20" s="3" t="s">
        <v>18</v>
      </c>
      <c r="C20" s="10">
        <v>650</v>
      </c>
      <c r="D20" s="10">
        <v>650</v>
      </c>
      <c r="E20" s="10">
        <v>500</v>
      </c>
      <c r="F20" s="9">
        <f>INDEX(C20:E20,1,MATCH('01_管理'!$B$5,$C$7:$E$7,0))</f>
        <v>650</v>
      </c>
      <c r="G20" s="3" t="s">
        <v>118</v>
      </c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3" t="s">
        <v>119</v>
      </c>
      <c r="B21" s="3" t="s">
        <v>18</v>
      </c>
      <c r="C21" s="10">
        <v>350</v>
      </c>
      <c r="D21" s="10">
        <v>350</v>
      </c>
      <c r="E21" s="10">
        <v>350</v>
      </c>
      <c r="F21" s="9">
        <f>INDEX(C21:E21,1,MATCH('01_管理'!$B$5,$C$7:$E$7,0))</f>
        <v>350</v>
      </c>
      <c r="G21" s="3" t="s">
        <v>120</v>
      </c>
      <c r="H21" s="3"/>
      <c r="I21" s="3"/>
      <c r="J21" s="3"/>
      <c r="K21" s="3"/>
      <c r="L21" s="3"/>
      <c r="M21" s="3"/>
      <c r="N21" s="3"/>
      <c r="O21" s="3"/>
      <c r="P21" s="3"/>
      <c r="Q21" s="3"/>
    </row>
  </sheetData>
  <mergeCells count="2">
    <mergeCell ref="A1:Q1"/>
    <mergeCell ref="A2:Q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7" width="16" customWidth="1"/>
  </cols>
  <sheetData>
    <row r="1" spans="1:17" x14ac:dyDescent="0.25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5" t="s">
        <v>12</v>
      </c>
      <c r="B4" s="5" t="s">
        <v>51</v>
      </c>
      <c r="C4" s="5" t="s">
        <v>122</v>
      </c>
      <c r="D4" s="5" t="s">
        <v>123</v>
      </c>
      <c r="E4" s="5" t="s">
        <v>124</v>
      </c>
      <c r="F4" s="5" t="s">
        <v>125</v>
      </c>
      <c r="G4" s="5" t="s">
        <v>126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3" t="s">
        <v>127</v>
      </c>
      <c r="B8" s="3">
        <v>1000</v>
      </c>
      <c r="C8" s="11">
        <f>B8*(1+'05_前提条件'!F8)</f>
        <v>1040</v>
      </c>
      <c r="D8" s="11">
        <f>C8*(1+'05_前提条件'!F8)</f>
        <v>1081.6000000000001</v>
      </c>
      <c r="E8" s="11">
        <f>D8*(1+'05_前提条件'!F8)</f>
        <v>1124.8640000000003</v>
      </c>
      <c r="F8" s="11">
        <f>E8*(1+'05_前提条件'!F8)</f>
        <v>1169.8585600000004</v>
      </c>
      <c r="G8" s="11">
        <f>F8*(1+'05_前提条件'!F8)</f>
        <v>1216.6529024000004</v>
      </c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 t="s">
        <v>128</v>
      </c>
      <c r="B9" s="3">
        <v>10</v>
      </c>
      <c r="C9" s="11">
        <f>B9*(1+'05_前提条件'!F9)</f>
        <v>10.1</v>
      </c>
      <c r="D9" s="11">
        <f>C9*(1+'05_前提条件'!F9)</f>
        <v>10.201</v>
      </c>
      <c r="E9" s="11">
        <f>D9*(1+'05_前提条件'!F9)</f>
        <v>10.30301</v>
      </c>
      <c r="F9" s="11">
        <f>E9*(1+'05_前提条件'!F9)</f>
        <v>10.4060401</v>
      </c>
      <c r="G9" s="11">
        <f>F9*(1+'05_前提条件'!F9)</f>
        <v>10.510100501</v>
      </c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 t="s">
        <v>53</v>
      </c>
      <c r="B12" s="3">
        <v>10000</v>
      </c>
      <c r="C12" s="11">
        <f>C8*C9</f>
        <v>10504</v>
      </c>
      <c r="D12" s="11">
        <f>D8*D9</f>
        <v>11033.401600000001</v>
      </c>
      <c r="E12" s="11">
        <f>E8*E9</f>
        <v>11589.485040640004</v>
      </c>
      <c r="F12" s="11">
        <f>F8*F9</f>
        <v>12173.59508668826</v>
      </c>
      <c r="G12" s="11">
        <f>G8*G9</f>
        <v>12787.144279057347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</sheetData>
  <mergeCells count="2">
    <mergeCell ref="A1:Q1"/>
    <mergeCell ref="A2:Q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7" width="16" customWidth="1"/>
  </cols>
  <sheetData>
    <row r="1" spans="1:17" x14ac:dyDescent="0.25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5" t="s">
        <v>12</v>
      </c>
      <c r="B4" s="5" t="s">
        <v>51</v>
      </c>
      <c r="C4" s="5" t="s">
        <v>122</v>
      </c>
      <c r="D4" s="5" t="s">
        <v>123</v>
      </c>
      <c r="E4" s="5" t="s">
        <v>124</v>
      </c>
      <c r="F4" s="5" t="s">
        <v>125</v>
      </c>
      <c r="G4" s="5" t="s">
        <v>126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3" t="s">
        <v>130</v>
      </c>
      <c r="B8" s="3">
        <v>4200</v>
      </c>
      <c r="C8" s="9">
        <f>'06_売上高'!C12*'05_前提条件'!F10</f>
        <v>4411.68</v>
      </c>
      <c r="D8" s="9">
        <f>'06_売上高'!D12*'05_前提条件'!F10</f>
        <v>4634.028672</v>
      </c>
      <c r="E8" s="9">
        <f>'06_売上高'!E12*'05_前提条件'!F10</f>
        <v>4867.583717068801</v>
      </c>
      <c r="F8" s="9">
        <f>'06_売上高'!F12*'05_前提条件'!F10</f>
        <v>5112.909936409069</v>
      </c>
      <c r="G8" s="9">
        <f>'06_売上高'!G12*'05_前提条件'!F10</f>
        <v>5370.600597204086</v>
      </c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 t="s">
        <v>131</v>
      </c>
      <c r="B9" s="3">
        <v>1400</v>
      </c>
      <c r="C9" s="9">
        <f>'08_人員'!C10</f>
        <v>1456.5600000000002</v>
      </c>
      <c r="D9" s="9">
        <f>'08_人員'!D10</f>
        <v>1515.4050240000004</v>
      </c>
      <c r="E9" s="9">
        <f>'08_人員'!E10</f>
        <v>1576.6273869696001</v>
      </c>
      <c r="F9" s="9">
        <f>'08_人員'!F10</f>
        <v>1640.323133403172</v>
      </c>
      <c r="G9" s="9">
        <f>'08_人員'!G10</f>
        <v>1706.5921879926605</v>
      </c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3" t="s">
        <v>132</v>
      </c>
      <c r="B10" s="3">
        <v>1400</v>
      </c>
      <c r="C10" s="9">
        <f>'06_売上高'!C12*'05_前提条件'!F16</f>
        <v>1470.5600000000002</v>
      </c>
      <c r="D10" s="9">
        <f>'06_売上高'!D12*'05_前提条件'!F16</f>
        <v>1544.6762240000003</v>
      </c>
      <c r="E10" s="9">
        <f>'06_売上高'!E12*'05_前提条件'!F16</f>
        <v>1622.5279056896006</v>
      </c>
      <c r="F10" s="9">
        <f>'06_売上高'!F12*'05_前提条件'!F16</f>
        <v>1704.3033121363565</v>
      </c>
      <c r="G10" s="9">
        <f>'06_売上高'!G12*'05_前提条件'!F16</f>
        <v>1790.2001990680287</v>
      </c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 t="s">
        <v>55</v>
      </c>
      <c r="B12" s="3">
        <v>7000</v>
      </c>
      <c r="C12" s="11">
        <f>SUM(C8:C10)</f>
        <v>7338.800000000001</v>
      </c>
      <c r="D12" s="11">
        <f>SUM(D8:D10)</f>
        <v>7694.109920000001</v>
      </c>
      <c r="E12" s="11">
        <f>SUM(E8:E10)</f>
        <v>8066.739009728001</v>
      </c>
      <c r="F12" s="11">
        <f>SUM(F8:F10)</f>
        <v>8457.536381948597</v>
      </c>
      <c r="G12" s="11">
        <f>SUM(G8:G10)</f>
        <v>8867.392984264776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</sheetData>
  <mergeCells count="2">
    <mergeCell ref="A1:Q1"/>
    <mergeCell ref="A2:Q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7" width="16" customWidth="1"/>
  </cols>
  <sheetData>
    <row r="1" spans="1:17" x14ac:dyDescent="0.25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5" t="s">
        <v>12</v>
      </c>
      <c r="B4" s="5" t="s">
        <v>51</v>
      </c>
      <c r="C4" s="5" t="s">
        <v>122</v>
      </c>
      <c r="D4" s="5" t="s">
        <v>123</v>
      </c>
      <c r="E4" s="5" t="s">
        <v>124</v>
      </c>
      <c r="F4" s="5" t="s">
        <v>125</v>
      </c>
      <c r="G4" s="5" t="s">
        <v>126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3" t="s">
        <v>134</v>
      </c>
      <c r="B8" s="3">
        <v>200</v>
      </c>
      <c r="C8" s="11">
        <f>B8*(1+'05_前提条件'!F14)</f>
        <v>204</v>
      </c>
      <c r="D8" s="11">
        <f>C8*(1+'05_前提条件'!F14)</f>
        <v>208.08</v>
      </c>
      <c r="E8" s="11">
        <f>D8*(1+'05_前提条件'!F14)</f>
        <v>212.2416</v>
      </c>
      <c r="F8" s="11">
        <f>E8*(1+'05_前提条件'!F14)</f>
        <v>216.486432</v>
      </c>
      <c r="G8" s="11">
        <f>F8*(1+'05_前提条件'!F14)</f>
        <v>220.81616064000002</v>
      </c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 t="s">
        <v>135</v>
      </c>
      <c r="B9" s="3">
        <v>7</v>
      </c>
      <c r="C9" s="11">
        <f>B9*(1+'05_前提条件'!F15)</f>
        <v>7.140000000000001</v>
      </c>
      <c r="D9" s="11">
        <f>C9*(1+'05_前提条件'!F15)</f>
        <v>7.282800000000001</v>
      </c>
      <c r="E9" s="11">
        <f>D9*(1+'05_前提条件'!F15)</f>
        <v>7.428456000000001</v>
      </c>
      <c r="F9" s="11">
        <f>E9*(1+'05_前提条件'!F15)</f>
        <v>7.577025120000001</v>
      </c>
      <c r="G9" s="11">
        <f>F9*(1+'05_前提条件'!F15)</f>
        <v>7.7285656224000014</v>
      </c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3" t="s">
        <v>136</v>
      </c>
      <c r="B10" s="3">
        <v>1400</v>
      </c>
      <c r="C10" s="11">
        <f>C8*C9</f>
        <v>1456.5600000000002</v>
      </c>
      <c r="D10" s="11">
        <f>D8*D9</f>
        <v>1515.4050240000004</v>
      </c>
      <c r="E10" s="11">
        <f>E8*E9</f>
        <v>1576.6273869696001</v>
      </c>
      <c r="F10" s="11">
        <f>F8*F9</f>
        <v>1640.323133403172</v>
      </c>
      <c r="G10" s="11">
        <f>G8*G9</f>
        <v>1706.5921879926605</v>
      </c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</sheetData>
  <mergeCells count="2">
    <mergeCell ref="A1:Q1"/>
    <mergeCell ref="A2:Q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7" width="16" customWidth="1"/>
  </cols>
  <sheetData>
    <row r="1" spans="1:17" x14ac:dyDescent="0.25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5" t="s">
        <v>12</v>
      </c>
      <c r="B4" s="5" t="s">
        <v>51</v>
      </c>
      <c r="C4" s="5" t="s">
        <v>122</v>
      </c>
      <c r="D4" s="5" t="s">
        <v>123</v>
      </c>
      <c r="E4" s="5" t="s">
        <v>124</v>
      </c>
      <c r="F4" s="5" t="s">
        <v>125</v>
      </c>
      <c r="G4" s="5" t="s">
        <v>126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3" t="s">
        <v>56</v>
      </c>
      <c r="B8" s="3">
        <v>1500</v>
      </c>
      <c r="C8" s="9">
        <f>'12_PL'!C8/365*'05_前提条件'!F11</f>
        <v>1582.7945205479452</v>
      </c>
      <c r="D8" s="9">
        <f>'12_PL'!D8/365*'05_前提条件'!F11</f>
        <v>1662.5673643835619</v>
      </c>
      <c r="E8" s="9">
        <f>'12_PL'!E8/365*'05_前提条件'!F11</f>
        <v>1746.3607595484937</v>
      </c>
      <c r="F8" s="9">
        <f>'12_PL'!F8/365*'05_前提条件'!F11</f>
        <v>1834.3773418297378</v>
      </c>
      <c r="G8" s="9">
        <f>'12_PL'!G8/365*'05_前提条件'!F11</f>
        <v>1926.8299598579563</v>
      </c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 t="s">
        <v>58</v>
      </c>
      <c r="B9" s="3">
        <v>1200</v>
      </c>
      <c r="C9" s="9">
        <f>-'12_PL'!C9/365*'05_前提条件'!F12</f>
        <v>1266.6969863013699</v>
      </c>
      <c r="D9" s="9">
        <f>-'12_PL'!D9/365*'05_前提条件'!F12</f>
        <v>1328.0244519452058</v>
      </c>
      <c r="E9" s="9">
        <f>-'12_PL'!E9/365*'05_前提条件'!F12</f>
        <v>1392.3412537338743</v>
      </c>
      <c r="F9" s="9">
        <f>-'12_PL'!F9/365*'05_前提条件'!F12</f>
        <v>1459.7939508568813</v>
      </c>
      <c r="G9" s="9">
        <f>-'12_PL'!G9/365*'05_前提条件'!F12</f>
        <v>1530.5363233114545</v>
      </c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3" t="s">
        <v>66</v>
      </c>
      <c r="B10" s="3">
        <v>900</v>
      </c>
      <c r="C10" s="9">
        <f>-'12_PL'!C9/365*'05_前提条件'!F13</f>
        <v>944.9961643835617</v>
      </c>
      <c r="D10" s="9">
        <f>-'12_PL'!D9/365*'05_前提条件'!F13</f>
        <v>990.7484006575344</v>
      </c>
      <c r="E10" s="9">
        <f>-'12_PL'!E9/365*'05_前提条件'!F13</f>
        <v>1038.7307765951125</v>
      </c>
      <c r="F10" s="9">
        <f>-'12_PL'!F9/365*'05_前提条件'!F13</f>
        <v>1089.05263000434</v>
      </c>
      <c r="G10" s="9">
        <f>-'12_PL'!G9/365*'05_前提条件'!F13</f>
        <v>1141.8286856450534</v>
      </c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</sheetData>
  <mergeCells count="2">
    <mergeCell ref="A1:Q1"/>
    <mergeCell ref="A2:Q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7" width="16" customWidth="1"/>
  </cols>
  <sheetData>
    <row r="1" spans="1:17" x14ac:dyDescent="0.25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5" t="s">
        <v>12</v>
      </c>
      <c r="B4" s="5" t="s">
        <v>51</v>
      </c>
      <c r="C4" s="5" t="s">
        <v>122</v>
      </c>
      <c r="D4" s="5" t="s">
        <v>123</v>
      </c>
      <c r="E4" s="5" t="s">
        <v>124</v>
      </c>
      <c r="F4" s="5" t="s">
        <v>125</v>
      </c>
      <c r="G4" s="5" t="s">
        <v>126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3" t="s">
        <v>138</v>
      </c>
      <c r="B8" s="3">
        <v>2640</v>
      </c>
      <c r="C8" s="11">
        <f>B11</f>
        <v>2940</v>
      </c>
      <c r="D8" s="11">
        <f>C11</f>
        <v>3296</v>
      </c>
      <c r="E8" s="11">
        <f>D11</f>
        <v>3666.4</v>
      </c>
      <c r="F8" s="11">
        <f>E11</f>
        <v>3949.7599999999998</v>
      </c>
      <c r="G8" s="11">
        <f>F11</f>
        <v>4154.784000000001</v>
      </c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 t="s">
        <v>117</v>
      </c>
      <c r="B9" s="3">
        <v>600</v>
      </c>
      <c r="C9" s="11">
        <f>CHOOSE(COLUMN()-2,650,700,650,600,600)</f>
        <v>650</v>
      </c>
      <c r="D9" s="11">
        <f>CHOOSE(COLUMN()-2,650,700,650,600,600)</f>
        <v>700</v>
      </c>
      <c r="E9" s="11">
        <f>CHOOSE(COLUMN()-2,650,700,650,600,600)</f>
        <v>650</v>
      </c>
      <c r="F9" s="11">
        <f>CHOOSE(COLUMN()-2,650,700,650,600,600)</f>
        <v>600</v>
      </c>
      <c r="G9" s="11">
        <f>CHOOSE(COLUMN()-2,650,700,650,600,600)</f>
        <v>600</v>
      </c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3" t="s">
        <v>63</v>
      </c>
      <c r="B10" s="3">
        <v>-300</v>
      </c>
      <c r="C10" s="11">
        <f>-C8*10%</f>
        <v>-294</v>
      </c>
      <c r="D10" s="11">
        <f>-D8*10%</f>
        <v>-329.6</v>
      </c>
      <c r="E10" s="11">
        <f>-E8*10%</f>
        <v>-366.64000000000004</v>
      </c>
      <c r="F10" s="11">
        <f>-F8*10%</f>
        <v>-394.976</v>
      </c>
      <c r="G10" s="11">
        <f>-G8*10%</f>
        <v>-415.4784000000001</v>
      </c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3" t="s">
        <v>139</v>
      </c>
      <c r="B11" s="3">
        <v>2940</v>
      </c>
      <c r="C11" s="11">
        <f>SUM(C8:C10)</f>
        <v>3296</v>
      </c>
      <c r="D11" s="11">
        <f>SUM(D8:D10)</f>
        <v>3666.4</v>
      </c>
      <c r="E11" s="11">
        <f>SUM(E8:E10)</f>
        <v>3949.7599999999998</v>
      </c>
      <c r="F11" s="11">
        <f>SUM(F8:F10)</f>
        <v>4154.784000000001</v>
      </c>
      <c r="G11" s="11">
        <f>SUM(G8:G10)</f>
        <v>4339.305600000001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</sheetData>
  <mergeCells count="2">
    <mergeCell ref="A1:Q1"/>
    <mergeCell ref="A2:Q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7" width="16" customWidth="1"/>
  </cols>
  <sheetData>
    <row r="1" spans="1:17" x14ac:dyDescent="0.2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5" t="s">
        <v>12</v>
      </c>
      <c r="B4" s="5" t="s">
        <v>51</v>
      </c>
      <c r="C4" s="5" t="s">
        <v>122</v>
      </c>
      <c r="D4" s="5" t="s">
        <v>123</v>
      </c>
      <c r="E4" s="5" t="s">
        <v>124</v>
      </c>
      <c r="F4" s="5" t="s">
        <v>125</v>
      </c>
      <c r="G4" s="5" t="s">
        <v>126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3" t="s">
        <v>140</v>
      </c>
      <c r="B8" s="3">
        <v>2350</v>
      </c>
      <c r="C8" s="11">
        <f>B11</f>
        <v>2000</v>
      </c>
      <c r="D8" s="11">
        <f>C11</f>
        <v>1650</v>
      </c>
      <c r="E8" s="11">
        <f>D11</f>
        <v>1300</v>
      </c>
      <c r="F8" s="11">
        <f>E11</f>
        <v>1000</v>
      </c>
      <c r="G8" s="11">
        <f>F11</f>
        <v>700</v>
      </c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 t="s">
        <v>141</v>
      </c>
      <c r="B9" s="3">
        <v>0</v>
      </c>
      <c r="C9" s="11">
        <f>MAX(0,'01_管理'!$B$7-('13_BS'!B8+'14_CF'!C12-'10_固定資産'!C9+C10))</f>
        <v>0</v>
      </c>
      <c r="D9" s="11">
        <f>MAX(0,'01_管理'!$B$7-('13_BS'!C8+'14_CF'!D12-'10_固定資産'!D9+D10))</f>
        <v>0</v>
      </c>
      <c r="E9" s="11">
        <f>MAX(0,'01_管理'!$B$7-('13_BS'!D8+'14_CF'!E12-'10_固定資産'!E9+E10))</f>
        <v>0</v>
      </c>
      <c r="F9" s="11">
        <f>MAX(0,'01_管理'!$B$7-('13_BS'!E8+'14_CF'!F12-'10_固定資産'!F9+F10))</f>
        <v>0</v>
      </c>
      <c r="G9" s="11">
        <f>MAX(0,'01_管理'!$B$7-('13_BS'!F8+'14_CF'!G12-'10_固定資産'!G9+G10))</f>
        <v>0</v>
      </c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3" t="s">
        <v>142</v>
      </c>
      <c r="B10" s="3">
        <v>-350</v>
      </c>
      <c r="C10" s="11">
        <f>-MIN(C8,350)</f>
        <v>-350</v>
      </c>
      <c r="D10" s="11">
        <f>-MIN(D8,350)</f>
        <v>-350</v>
      </c>
      <c r="E10" s="11">
        <f>-MIN(E8,300)</f>
        <v>-300</v>
      </c>
      <c r="F10" s="11">
        <f>-MIN(F8,300)</f>
        <v>-300</v>
      </c>
      <c r="G10" s="11">
        <f>-MIN(G8,200)</f>
        <v>-200</v>
      </c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3" t="s">
        <v>143</v>
      </c>
      <c r="B11" s="3">
        <v>2000</v>
      </c>
      <c r="C11" s="11">
        <f>SUM(C8:C10)</f>
        <v>1650</v>
      </c>
      <c r="D11" s="11">
        <f>SUM(D8:D10)</f>
        <v>1300</v>
      </c>
      <c r="E11" s="11">
        <f>SUM(E8:E10)</f>
        <v>1000</v>
      </c>
      <c r="F11" s="11">
        <f>SUM(F8:F10)</f>
        <v>700</v>
      </c>
      <c r="G11" s="11">
        <f>SUM(G8:G10)</f>
        <v>500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</sheetData>
  <mergeCells count="2">
    <mergeCell ref="A1:Q1"/>
    <mergeCell ref="A2:Q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7" width="16" customWidth="1"/>
  </cols>
  <sheetData>
    <row r="1" spans="1:17" x14ac:dyDescent="0.25">
      <c r="A1" s="1" t="s">
        <v>144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5" t="s">
        <v>12</v>
      </c>
      <c r="B4" s="5" t="s">
        <v>51</v>
      </c>
      <c r="C4" s="5" t="s">
        <v>122</v>
      </c>
      <c r="D4" s="5" t="s">
        <v>123</v>
      </c>
      <c r="E4" s="5" t="s">
        <v>124</v>
      </c>
      <c r="F4" s="5" t="s">
        <v>125</v>
      </c>
      <c r="G4" s="5" t="s">
        <v>126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3" t="s">
        <v>53</v>
      </c>
      <c r="B8" s="3">
        <v>10000</v>
      </c>
      <c r="C8" s="9">
        <f>'06_売上高'!C12</f>
        <v>10504</v>
      </c>
      <c r="D8" s="9">
        <f>'06_売上高'!D12</f>
        <v>11033.401600000001</v>
      </c>
      <c r="E8" s="9">
        <f>'06_売上高'!E12</f>
        <v>11589.485040640004</v>
      </c>
      <c r="F8" s="9">
        <f>'06_売上高'!F12</f>
        <v>12173.59508668826</v>
      </c>
      <c r="G8" s="9">
        <f>'06_売上高'!G12</f>
        <v>12787.144279057347</v>
      </c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 t="s">
        <v>55</v>
      </c>
      <c r="B9" s="3">
        <v>-7000</v>
      </c>
      <c r="C9" s="9">
        <f>-'07_原価'!C12</f>
        <v>-7338.800000000001</v>
      </c>
      <c r="D9" s="9">
        <f>-'07_原価'!D12</f>
        <v>-7694.109920000001</v>
      </c>
      <c r="E9" s="9">
        <f>-'07_原価'!E12</f>
        <v>-8066.739009728001</v>
      </c>
      <c r="F9" s="9">
        <f>-'07_原価'!F12</f>
        <v>-8457.536381948597</v>
      </c>
      <c r="G9" s="9">
        <f>-'07_原価'!G12</f>
        <v>-8867.392984264776</v>
      </c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3" t="s">
        <v>57</v>
      </c>
      <c r="B10" s="3">
        <v>3000</v>
      </c>
      <c r="C10" s="11">
        <f>SUM(C8:C9)</f>
        <v>3165.199999999999</v>
      </c>
      <c r="D10" s="11">
        <f>SUM(D8:D9)</f>
        <v>3339.2916800000003</v>
      </c>
      <c r="E10" s="11">
        <f>SUM(E8:E9)</f>
        <v>3522.7460309120024</v>
      </c>
      <c r="F10" s="11">
        <f>SUM(F8:F9)</f>
        <v>3716.058704739662</v>
      </c>
      <c r="G10" s="11">
        <f>SUM(G8:G9)</f>
        <v>3919.7512947925716</v>
      </c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3" t="s">
        <v>59</v>
      </c>
      <c r="B11" s="3">
        <v>-1500</v>
      </c>
      <c r="C11" s="11">
        <f>-C8*'05_前提条件'!F17</f>
        <v>-1575.6</v>
      </c>
      <c r="D11" s="11">
        <f>-D8*'05_前提条件'!F17</f>
        <v>-1655.01024</v>
      </c>
      <c r="E11" s="11">
        <f>-E8*'05_前提条件'!F17</f>
        <v>-1738.4227560960005</v>
      </c>
      <c r="F11" s="11">
        <f>-F8*'05_前提条件'!F17</f>
        <v>-1826.0392630032388</v>
      </c>
      <c r="G11" s="11">
        <f>-G8*'05_前提条件'!F17</f>
        <v>-1918.071641858602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 t="s">
        <v>61</v>
      </c>
      <c r="B12" s="3">
        <v>1500</v>
      </c>
      <c r="C12" s="11">
        <f>SUM(C10:C11)</f>
        <v>1589.599999999999</v>
      </c>
      <c r="D12" s="11">
        <f>SUM(D10:D11)</f>
        <v>1684.2814400000002</v>
      </c>
      <c r="E12" s="11">
        <f>SUM(E10:E11)</f>
        <v>1784.323274816002</v>
      </c>
      <c r="F12" s="11">
        <f>SUM(F10:F11)</f>
        <v>1890.0194417364232</v>
      </c>
      <c r="G12" s="11">
        <f>SUM(G10:G11)</f>
        <v>2001.6796529339695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3" t="s">
        <v>63</v>
      </c>
      <c r="B13" s="3">
        <v>-300</v>
      </c>
      <c r="C13" s="9">
        <f>'10_固定資産'!C10</f>
        <v>-294</v>
      </c>
      <c r="D13" s="9">
        <f>'10_固定資産'!D10</f>
        <v>-329.6</v>
      </c>
      <c r="E13" s="9">
        <f>'10_固定資産'!E10</f>
        <v>-366.64000000000004</v>
      </c>
      <c r="F13" s="9">
        <f>'10_固定資産'!F10</f>
        <v>-394.976</v>
      </c>
      <c r="G13" s="9">
        <f>'10_固定資産'!G10</f>
        <v>-415.4784000000001</v>
      </c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" t="s">
        <v>65</v>
      </c>
      <c r="B14" s="3">
        <v>1200</v>
      </c>
      <c r="C14" s="11">
        <f>SUM(C12:C13)</f>
        <v>1295.599999999999</v>
      </c>
      <c r="D14" s="11">
        <f>SUM(D12:D13)</f>
        <v>1354.6814400000003</v>
      </c>
      <c r="E14" s="11">
        <f>SUM(E12:E13)</f>
        <v>1417.6832748160018</v>
      </c>
      <c r="F14" s="11">
        <f>SUM(F12:F13)</f>
        <v>1495.0434417364231</v>
      </c>
      <c r="G14" s="11">
        <f>SUM(G12:G13)</f>
        <v>1586.2012529339695</v>
      </c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3" t="s">
        <v>67</v>
      </c>
      <c r="B15" s="3">
        <v>-30</v>
      </c>
      <c r="C15" s="11">
        <f>-'11_借入金'!C8*'05_前提条件'!F19</f>
        <v>-24</v>
      </c>
      <c r="D15" s="11">
        <f>-'11_借入金'!D8*'05_前提条件'!F19</f>
        <v>-19.8</v>
      </c>
      <c r="E15" s="11">
        <f>-'11_借入金'!E8*'05_前提条件'!F19</f>
        <v>-15.6</v>
      </c>
      <c r="F15" s="11">
        <f>-'11_借入金'!F8*'05_前提条件'!F19</f>
        <v>-12</v>
      </c>
      <c r="G15" s="11">
        <f>-'11_借入金'!G8*'05_前提条件'!F19</f>
        <v>-8.4</v>
      </c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3" t="s">
        <v>69</v>
      </c>
      <c r="B16" s="3">
        <v>1170</v>
      </c>
      <c r="C16" s="11">
        <f>SUM(C14:C15)</f>
        <v>1271.599999999999</v>
      </c>
      <c r="D16" s="11">
        <f>SUM(D14:D15)</f>
        <v>1334.8814400000003</v>
      </c>
      <c r="E16" s="11">
        <f>SUM(E14:E15)</f>
        <v>1402.083274816002</v>
      </c>
      <c r="F16" s="11">
        <f>SUM(F14:F15)</f>
        <v>1483.0434417364231</v>
      </c>
      <c r="G16" s="11">
        <f>SUM(G14:G15)</f>
        <v>1577.8012529339694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 t="s">
        <v>71</v>
      </c>
      <c r="B17" s="3">
        <v>-351</v>
      </c>
      <c r="C17" s="11">
        <f>-MAX(0,C16*'05_前提条件'!F18)</f>
        <v>-381.4799999999997</v>
      </c>
      <c r="D17" s="11">
        <f>-MAX(0,D16*'05_前提条件'!F18)</f>
        <v>-400.4644320000001</v>
      </c>
      <c r="E17" s="11">
        <f>-MAX(0,E16*'05_前提条件'!F18)</f>
        <v>-420.62498244480054</v>
      </c>
      <c r="F17" s="11">
        <f>-MAX(0,F16*'05_前提条件'!F18)</f>
        <v>-444.91303252092695</v>
      </c>
      <c r="G17" s="11">
        <f>-MAX(0,G16*'05_前提条件'!F18)</f>
        <v>-473.3403758801908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 t="s">
        <v>73</v>
      </c>
      <c r="B18" s="3">
        <v>819</v>
      </c>
      <c r="C18" s="11">
        <f>SUM(C16:C17)</f>
        <v>890.1199999999993</v>
      </c>
      <c r="D18" s="11">
        <f>SUM(D16:D17)</f>
        <v>934.4170080000002</v>
      </c>
      <c r="E18" s="11">
        <f>SUM(E16:E17)</f>
        <v>981.4582923712014</v>
      </c>
      <c r="F18" s="11">
        <f>SUM(F16:F17)</f>
        <v>1038.1304092154962</v>
      </c>
      <c r="G18" s="11">
        <f>SUM(G16:G17)</f>
        <v>1104.4608770537786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</sheetData>
  <mergeCells count="2">
    <mergeCell ref="A1:Q1"/>
    <mergeCell ref="A2:Q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7" width="16" customWidth="1"/>
  </cols>
  <sheetData>
    <row r="1" spans="1:17" x14ac:dyDescent="0.25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5" t="s">
        <v>12</v>
      </c>
      <c r="B4" s="5" t="s">
        <v>51</v>
      </c>
      <c r="C4" s="5" t="s">
        <v>122</v>
      </c>
      <c r="D4" s="5" t="s">
        <v>123</v>
      </c>
      <c r="E4" s="5" t="s">
        <v>124</v>
      </c>
      <c r="F4" s="5" t="s">
        <v>125</v>
      </c>
      <c r="G4" s="5" t="s">
        <v>126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3" t="s">
        <v>54</v>
      </c>
      <c r="B8" s="3">
        <v>600</v>
      </c>
      <c r="C8" s="9">
        <f>'14_CF'!C20</f>
        <v>679.6246575342461</v>
      </c>
      <c r="D8" s="9">
        <f>'14_CF'!D20</f>
        <v>798.2935923287662</v>
      </c>
      <c r="E8" s="9">
        <f>'14_CF'!E20</f>
        <v>1096.2640636839458</v>
      </c>
      <c r="F8" s="9">
        <f>'14_CF'!F20</f>
        <v>1524.2230469044182</v>
      </c>
      <c r="G8" s="9">
        <f>'14_CF'!G20</f>
        <v>2133.743389116118</v>
      </c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 t="s">
        <v>56</v>
      </c>
      <c r="B9" s="3">
        <v>1500</v>
      </c>
      <c r="C9" s="9">
        <f>'09_運転資本'!C8</f>
        <v>1582.7945205479452</v>
      </c>
      <c r="D9" s="9">
        <f>'09_運転資本'!D8</f>
        <v>1662.5673643835619</v>
      </c>
      <c r="E9" s="9">
        <f>'09_運転資本'!E8</f>
        <v>1746.3607595484937</v>
      </c>
      <c r="F9" s="9">
        <f>'09_運転資本'!F8</f>
        <v>1834.3773418297378</v>
      </c>
      <c r="G9" s="9">
        <f>'09_運転資本'!G8</f>
        <v>1926.8299598579563</v>
      </c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3" t="s">
        <v>58</v>
      </c>
      <c r="B10" s="3">
        <v>1200</v>
      </c>
      <c r="C10" s="9">
        <f>'09_運転資本'!C9</f>
        <v>1266.6969863013699</v>
      </c>
      <c r="D10" s="9">
        <f>'09_運転資本'!D9</f>
        <v>1328.0244519452058</v>
      </c>
      <c r="E10" s="9">
        <f>'09_運転資本'!E9</f>
        <v>1392.3412537338743</v>
      </c>
      <c r="F10" s="9">
        <f>'09_運転資本'!F9</f>
        <v>1459.7939508568813</v>
      </c>
      <c r="G10" s="9">
        <f>'09_運転資本'!G9</f>
        <v>1530.5363233114545</v>
      </c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3" t="s">
        <v>60</v>
      </c>
      <c r="B11" s="3">
        <v>2940</v>
      </c>
      <c r="C11" s="9">
        <f>'10_固定資産'!C11</f>
        <v>3296</v>
      </c>
      <c r="D11" s="9">
        <f>'10_固定資産'!D11</f>
        <v>3666.4</v>
      </c>
      <c r="E11" s="9">
        <f>'10_固定資産'!E11</f>
        <v>3949.7599999999998</v>
      </c>
      <c r="F11" s="9">
        <f>'10_固定資産'!F11</f>
        <v>4154.784000000001</v>
      </c>
      <c r="G11" s="9">
        <f>'10_固定資産'!G11</f>
        <v>4339.305600000001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 t="s">
        <v>62</v>
      </c>
      <c r="B12" s="3">
        <v>760</v>
      </c>
      <c r="C12" s="11">
        <f>B12</f>
        <v>760</v>
      </c>
      <c r="D12" s="11">
        <f>C12</f>
        <v>760</v>
      </c>
      <c r="E12" s="11">
        <f>D12</f>
        <v>760</v>
      </c>
      <c r="F12" s="11">
        <f>E12</f>
        <v>760</v>
      </c>
      <c r="G12" s="11">
        <f>F12</f>
        <v>760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3" t="s">
        <v>64</v>
      </c>
      <c r="B13" s="3">
        <v>7000</v>
      </c>
      <c r="C13" s="11">
        <f>SUM(C8:C12)</f>
        <v>7585.116164383561</v>
      </c>
      <c r="D13" s="11">
        <f>SUM(D8:D12)</f>
        <v>8215.285408657533</v>
      </c>
      <c r="E13" s="11">
        <f>SUM(E8:E12)</f>
        <v>8944.726076966313</v>
      </c>
      <c r="F13" s="11">
        <f>SUM(F8:F12)</f>
        <v>9733.178339591039</v>
      </c>
      <c r="G13" s="11">
        <f>SUM(G8:G12)</f>
        <v>10690.415272285529</v>
      </c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" t="s">
        <v>66</v>
      </c>
      <c r="B14" s="3">
        <v>900</v>
      </c>
      <c r="C14" s="9">
        <f>'09_運転資本'!C10</f>
        <v>944.9961643835617</v>
      </c>
      <c r="D14" s="9">
        <f>'09_運転資本'!D10</f>
        <v>990.7484006575344</v>
      </c>
      <c r="E14" s="9">
        <f>'09_運転資本'!E10</f>
        <v>1038.7307765951125</v>
      </c>
      <c r="F14" s="9">
        <f>'09_運転資本'!F10</f>
        <v>1089.05263000434</v>
      </c>
      <c r="G14" s="9">
        <f>'09_運転資本'!G10</f>
        <v>1141.8286856450534</v>
      </c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3" t="s">
        <v>68</v>
      </c>
      <c r="B15" s="3">
        <v>2000</v>
      </c>
      <c r="C15" s="9">
        <f>'11_借入金'!C11</f>
        <v>1650</v>
      </c>
      <c r="D15" s="9">
        <f>'11_借入金'!D11</f>
        <v>1300</v>
      </c>
      <c r="E15" s="9">
        <f>'11_借入金'!E11</f>
        <v>1000</v>
      </c>
      <c r="F15" s="9">
        <f>'11_借入金'!F11</f>
        <v>700</v>
      </c>
      <c r="G15" s="9">
        <f>'11_借入金'!G11</f>
        <v>500</v>
      </c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3" t="s">
        <v>70</v>
      </c>
      <c r="B16" s="3">
        <v>1100</v>
      </c>
      <c r="C16" s="11">
        <f>B16</f>
        <v>1100</v>
      </c>
      <c r="D16" s="11">
        <f>C16</f>
        <v>1100</v>
      </c>
      <c r="E16" s="11">
        <f>D16</f>
        <v>1100</v>
      </c>
      <c r="F16" s="11">
        <f>E16</f>
        <v>1100</v>
      </c>
      <c r="G16" s="11">
        <f>F16</f>
        <v>1100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 t="s">
        <v>72</v>
      </c>
      <c r="B17" s="3">
        <v>1500</v>
      </c>
      <c r="C17" s="11">
        <f>B17</f>
        <v>1500</v>
      </c>
      <c r="D17" s="11">
        <f>C17</f>
        <v>1500</v>
      </c>
      <c r="E17" s="11">
        <f>D17</f>
        <v>1500</v>
      </c>
      <c r="F17" s="11">
        <f>E17</f>
        <v>1500</v>
      </c>
      <c r="G17" s="11">
        <f>F17</f>
        <v>1500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 t="s">
        <v>74</v>
      </c>
      <c r="B18" s="3">
        <v>1500</v>
      </c>
      <c r="C18" s="11">
        <f>B18+'12_PL'!C18</f>
        <v>2390.1199999999994</v>
      </c>
      <c r="D18" s="11">
        <f>C18+'12_PL'!D18</f>
        <v>3324.537008</v>
      </c>
      <c r="E18" s="11">
        <f>D18+'12_PL'!E18</f>
        <v>4305.995300371202</v>
      </c>
      <c r="F18" s="11">
        <f>E18+'12_PL'!F18</f>
        <v>5344.125709586698</v>
      </c>
      <c r="G18" s="11">
        <f>F18+'12_PL'!G18</f>
        <v>6448.5865866404765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 t="s">
        <v>75</v>
      </c>
      <c r="B19" s="3">
        <v>7000</v>
      </c>
      <c r="C19" s="11">
        <f>SUM(C14:C18)</f>
        <v>7585.11616438356</v>
      </c>
      <c r="D19" s="11">
        <f>SUM(D14:D18)</f>
        <v>8215.285408657533</v>
      </c>
      <c r="E19" s="11">
        <f>SUM(E14:E18)</f>
        <v>8944.726076966315</v>
      </c>
      <c r="F19" s="11">
        <f>SUM(F14:F18)</f>
        <v>9733.178339591039</v>
      </c>
      <c r="G19" s="11">
        <f>SUM(G14:G18)</f>
        <v>10690.415272285529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</sheetData>
  <mergeCells count="2">
    <mergeCell ref="A1:Q1"/>
    <mergeCell ref="A2:Q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7" width="16" customWidth="1"/>
  </cols>
  <sheetData>
    <row r="1" spans="1:17" x14ac:dyDescent="0.25">
      <c r="A1" s="1" t="s">
        <v>146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5" t="s">
        <v>12</v>
      </c>
      <c r="B4" s="5" t="s">
        <v>51</v>
      </c>
      <c r="C4" s="5" t="s">
        <v>122</v>
      </c>
      <c r="D4" s="5" t="s">
        <v>123</v>
      </c>
      <c r="E4" s="5" t="s">
        <v>124</v>
      </c>
      <c r="F4" s="5" t="s">
        <v>125</v>
      </c>
      <c r="G4" s="5" t="s">
        <v>126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3" t="s">
        <v>73</v>
      </c>
      <c r="B8" s="3">
        <v>819</v>
      </c>
      <c r="C8" s="9">
        <f>'12_PL'!C18</f>
        <v>890.1199999999993</v>
      </c>
      <c r="D8" s="9">
        <f>'12_PL'!D18</f>
        <v>934.4170080000002</v>
      </c>
      <c r="E8" s="9">
        <f>'12_PL'!E18</f>
        <v>981.4582923712014</v>
      </c>
      <c r="F8" s="9">
        <f>'12_PL'!F18</f>
        <v>1038.1304092154962</v>
      </c>
      <c r="G8" s="9">
        <f>'12_PL'!G18</f>
        <v>1104.4608770537786</v>
      </c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 t="s">
        <v>63</v>
      </c>
      <c r="B9" s="3">
        <v>300</v>
      </c>
      <c r="C9" s="9">
        <f>-'10_固定資産'!C10</f>
        <v>294</v>
      </c>
      <c r="D9" s="9">
        <f>-'10_固定資産'!D10</f>
        <v>329.6</v>
      </c>
      <c r="E9" s="9">
        <f>-'10_固定資産'!E10</f>
        <v>366.64000000000004</v>
      </c>
      <c r="F9" s="9">
        <f>-'10_固定資産'!F10</f>
        <v>394.976</v>
      </c>
      <c r="G9" s="9">
        <f>-'10_固定資産'!G10</f>
        <v>415.4784000000001</v>
      </c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3" t="s">
        <v>147</v>
      </c>
      <c r="B10" s="3">
        <v>-100</v>
      </c>
      <c r="C10" s="11">
        <f>-(('09_運転資本'!C8-'09_運転資本'!B8)+('09_運転資本'!C9-'09_運転資本'!B9)-('09_運転資本'!C10-'09_運転資本'!B10))</f>
        <v>-104.49534246575331</v>
      </c>
      <c r="D10" s="11">
        <f>-(('09_運転資本'!D8-'09_運転資本'!C8)+('09_運転資本'!D9-'09_運転資本'!C9)-('09_運転資本'!D10-'09_運転資本'!C10))</f>
        <v>-95.3480732054802</v>
      </c>
      <c r="E10" s="11">
        <f>-(('09_運転資本'!E8-'09_運転資本'!D8)+('09_運転資本'!E9-'09_運転資本'!D9)-('09_運転資本'!E10-'09_運転資本'!D10))</f>
        <v>-100.12782101602193</v>
      </c>
      <c r="F10" s="11">
        <f>-(('09_運転資本'!F8-'09_運転資本'!E8)+('09_運転資本'!F9-'09_運転資本'!E9)-('09_運転資本'!F10-'09_運転資本'!E10))</f>
        <v>-105.1474259950237</v>
      </c>
      <c r="G10" s="11">
        <f>-(('09_運転資本'!G8-'09_運転資本'!F8)+('09_運転資本'!G9-'09_運転資本'!F9)-('09_運転資本'!G10-'09_運転資本'!F10))</f>
        <v>-110.41893484207867</v>
      </c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 t="s">
        <v>148</v>
      </c>
      <c r="B12" s="3">
        <v>1019</v>
      </c>
      <c r="C12" s="11">
        <f>SUM(C8:C10)</f>
        <v>1079.6246575342461</v>
      </c>
      <c r="D12" s="11">
        <f>SUM(D8:D10)</f>
        <v>1168.66893479452</v>
      </c>
      <c r="E12" s="11">
        <f>SUM(E8:E10)</f>
        <v>1247.9704713551796</v>
      </c>
      <c r="F12" s="11">
        <f>SUM(F8:F10)</f>
        <v>1327.9589832204724</v>
      </c>
      <c r="G12" s="11">
        <f>SUM(G8:G10)</f>
        <v>1409.5203422117002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" t="s">
        <v>117</v>
      </c>
      <c r="B14" s="3">
        <v>-600</v>
      </c>
      <c r="C14" s="9">
        <f>-'10_固定資産'!C9</f>
        <v>-650</v>
      </c>
      <c r="D14" s="9">
        <f>-'10_固定資産'!D9</f>
        <v>-700</v>
      </c>
      <c r="E14" s="9">
        <f>-'10_固定資産'!E9</f>
        <v>-650</v>
      </c>
      <c r="F14" s="9">
        <f>-'10_固定資産'!F9</f>
        <v>-600</v>
      </c>
      <c r="G14" s="9">
        <f>-'10_固定資産'!G9</f>
        <v>-600</v>
      </c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3" t="s">
        <v>149</v>
      </c>
      <c r="B16" s="3">
        <v>-350</v>
      </c>
      <c r="C16" s="9">
        <f>'11_借入金'!C9+'11_借入金'!C10</f>
        <v>-350</v>
      </c>
      <c r="D16" s="9">
        <f>'11_借入金'!D9+'11_借入金'!D10</f>
        <v>-350</v>
      </c>
      <c r="E16" s="9">
        <f>'11_借入金'!E9+'11_借入金'!E10</f>
        <v>-300</v>
      </c>
      <c r="F16" s="9">
        <f>'11_借入金'!F9+'11_借入金'!F10</f>
        <v>-300</v>
      </c>
      <c r="G16" s="9">
        <f>'11_借入金'!G9+'11_借入金'!G10</f>
        <v>-200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 t="s">
        <v>150</v>
      </c>
      <c r="B19" s="3">
        <v>69</v>
      </c>
      <c r="C19" s="11">
        <f>SUM(C12,C14,C16)</f>
        <v>79.62465753424613</v>
      </c>
      <c r="D19" s="11">
        <f>SUM(D12,D14,D16)</f>
        <v>118.66893479452006</v>
      </c>
      <c r="E19" s="11">
        <f>SUM(E12,E14,E16)</f>
        <v>297.9704713551796</v>
      </c>
      <c r="F19" s="11">
        <f>SUM(F12,F14,F16)</f>
        <v>427.9589832204724</v>
      </c>
      <c r="G19" s="11">
        <f>SUM(G12,G14,G16)</f>
        <v>609.5203422117002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 t="s">
        <v>151</v>
      </c>
      <c r="B20" s="3">
        <v>600</v>
      </c>
      <c r="C20" s="11">
        <f>B20+C19</f>
        <v>679.6246575342461</v>
      </c>
      <c r="D20" s="11">
        <f>C20+D19</f>
        <v>798.2935923287662</v>
      </c>
      <c r="E20" s="11">
        <f>D20+E19</f>
        <v>1096.2640636839458</v>
      </c>
      <c r="F20" s="11">
        <f>E20+F19</f>
        <v>1524.2230469044182</v>
      </c>
      <c r="G20" s="11">
        <f>F20+G19</f>
        <v>2133.743389116118</v>
      </c>
      <c r="H20" s="3"/>
      <c r="I20" s="3"/>
      <c r="J20" s="3"/>
      <c r="K20" s="3"/>
      <c r="L20" s="3"/>
      <c r="M20" s="3"/>
      <c r="N20" s="3"/>
      <c r="O20" s="3"/>
      <c r="P20" s="3"/>
      <c r="Q20" s="3"/>
    </row>
  </sheetData>
  <mergeCells count="2">
    <mergeCell ref="A1:Q1"/>
    <mergeCell ref="A2:Q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7" width="16" customWidth="1"/>
  </cols>
  <sheetData>
    <row r="1" spans="1:17" x14ac:dyDescent="0.25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5" t="s">
        <v>12</v>
      </c>
      <c r="B4" s="5" t="s">
        <v>51</v>
      </c>
      <c r="C4" s="5" t="s">
        <v>122</v>
      </c>
      <c r="D4" s="5" t="s">
        <v>123</v>
      </c>
      <c r="E4" s="5" t="s">
        <v>124</v>
      </c>
      <c r="F4" s="5" t="s">
        <v>125</v>
      </c>
      <c r="G4" s="5" t="s">
        <v>126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3" t="s">
        <v>53</v>
      </c>
      <c r="B8" s="9">
        <f>'12_PL'!B8</f>
        <v>10000</v>
      </c>
      <c r="C8" s="9">
        <f>'12_PL'!C8</f>
        <v>10504</v>
      </c>
      <c r="D8" s="9">
        <f>'12_PL'!D8</f>
        <v>11033.401600000001</v>
      </c>
      <c r="E8" s="9">
        <f>'12_PL'!E8</f>
        <v>11589.485040640004</v>
      </c>
      <c r="F8" s="9">
        <f>'12_PL'!F8</f>
        <v>12173.59508668826</v>
      </c>
      <c r="G8" s="9">
        <f>'12_PL'!G8</f>
        <v>12787.144279057347</v>
      </c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 t="s">
        <v>65</v>
      </c>
      <c r="B9" s="9">
        <f>'12_PL'!B14</f>
        <v>1200</v>
      </c>
      <c r="C9" s="9">
        <f>'12_PL'!C14</f>
        <v>1295.599999999999</v>
      </c>
      <c r="D9" s="9">
        <f>'12_PL'!D14</f>
        <v>1354.6814400000003</v>
      </c>
      <c r="E9" s="9">
        <f>'12_PL'!E14</f>
        <v>1417.6832748160018</v>
      </c>
      <c r="F9" s="9">
        <f>'12_PL'!F14</f>
        <v>1495.0434417364231</v>
      </c>
      <c r="G9" s="9">
        <f>'12_PL'!G14</f>
        <v>1586.2012529339695</v>
      </c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3" t="s">
        <v>151</v>
      </c>
      <c r="B10" s="9">
        <f>'13_BS'!B8</f>
        <v>600</v>
      </c>
      <c r="C10" s="9">
        <f>'13_BS'!C8</f>
        <v>679.6246575342461</v>
      </c>
      <c r="D10" s="9">
        <f>'13_BS'!D8</f>
        <v>798.2935923287662</v>
      </c>
      <c r="E10" s="9">
        <f>'13_BS'!E8</f>
        <v>1096.2640636839458</v>
      </c>
      <c r="F10" s="9">
        <f>'13_BS'!F8</f>
        <v>1524.2230469044182</v>
      </c>
      <c r="G10" s="9">
        <f>'13_BS'!G8</f>
        <v>2133.743389116118</v>
      </c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3" t="s">
        <v>68</v>
      </c>
      <c r="B11" s="9">
        <f>'13_BS'!B15</f>
        <v>2000</v>
      </c>
      <c r="C11" s="9">
        <f>'13_BS'!C15</f>
        <v>1650</v>
      </c>
      <c r="D11" s="9">
        <f>'13_BS'!D15</f>
        <v>1300</v>
      </c>
      <c r="E11" s="9">
        <f>'13_BS'!E15</f>
        <v>1000</v>
      </c>
      <c r="F11" s="9">
        <f>'13_BS'!F15</f>
        <v>700</v>
      </c>
      <c r="G11" s="9">
        <f>'13_BS'!G15</f>
        <v>500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 t="s">
        <v>153</v>
      </c>
      <c r="B12" s="9">
        <f>'13_BS'!B13-'13_BS'!B19</f>
        <v>0</v>
      </c>
      <c r="C12" s="12">
        <f>'13_BS'!C13-'13_BS'!C19</f>
        <v>9.094947017729282e-13</v>
      </c>
      <c r="D12" s="12">
        <f>'13_BS'!D13-'13_BS'!D19</f>
        <v>0</v>
      </c>
      <c r="E12" s="12">
        <f>'13_BS'!E13-'13_BS'!E19</f>
        <v>-1.8189894035458565e-12</v>
      </c>
      <c r="F12" s="12">
        <f>'13_BS'!F13-'13_BS'!F19</f>
        <v>0</v>
      </c>
      <c r="G12" s="12">
        <f>'13_BS'!G13-'13_BS'!G19</f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3" t="s">
        <v>61</v>
      </c>
      <c r="B13" s="9">
        <f>'12_PL'!B12</f>
        <v>1500</v>
      </c>
      <c r="C13" s="9">
        <f>'12_PL'!C12</f>
        <v>1589.599999999999</v>
      </c>
      <c r="D13" s="9">
        <f>'12_PL'!D12</f>
        <v>1684.2814400000002</v>
      </c>
      <c r="E13" s="9">
        <f>'12_PL'!E12</f>
        <v>1784.323274816002</v>
      </c>
      <c r="F13" s="9">
        <f>'12_PL'!F12</f>
        <v>1890.0194417364232</v>
      </c>
      <c r="G13" s="9">
        <f>'12_PL'!G12</f>
        <v>2001.6796529339695</v>
      </c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s="13" customFormat="1" x14ac:dyDescent="0.25">
      <c r="A14" s="14" t="s">
        <v>154</v>
      </c>
      <c r="B14" s="15">
        <f>B13/B8</f>
        <v>0.15</v>
      </c>
      <c r="C14" s="16">
        <f>C13/C8</f>
        <v>0.15133282559025124</v>
      </c>
      <c r="D14" s="16">
        <f>D13/D8</f>
        <v>0.1526529624372596</v>
      </c>
      <c r="E14" s="16">
        <f>E13/E8</f>
        <v>0.15396053134017995</v>
      </c>
      <c r="F14" s="16">
        <f>F13/F8</f>
        <v>0.155255651948137</v>
      </c>
      <c r="G14" s="16">
        <f>G13/G8</f>
        <v>0.15653844277117446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1:17" x14ac:dyDescent="0.25">
      <c r="A15" s="3" t="s">
        <v>155</v>
      </c>
      <c r="B15" s="9">
        <f>B11-B10</f>
        <v>1400</v>
      </c>
      <c r="C15" s="11">
        <f>C11-C10</f>
        <v>970.3753424657539</v>
      </c>
      <c r="D15" s="11">
        <f>D11-D10</f>
        <v>501.7064076712338</v>
      </c>
      <c r="E15" s="11">
        <f>E11-E10</f>
        <v>-96.26406368394578</v>
      </c>
      <c r="F15" s="11">
        <f>F11-F10</f>
        <v>-824.2230469044182</v>
      </c>
      <c r="G15" s="11">
        <f>G11-G10</f>
        <v>-1633.7433891161181</v>
      </c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3" t="s">
        <v>156</v>
      </c>
      <c r="B16" s="9">
        <f>B10-'01_管理'!$B$7</f>
        <v>100</v>
      </c>
      <c r="C16" s="11">
        <f>C10-'01_管理'!$B$7</f>
        <v>179.62465753424613</v>
      </c>
      <c r="D16" s="11">
        <f>D10-'01_管理'!$B$7</f>
        <v>298.2935923287662</v>
      </c>
      <c r="E16" s="11">
        <f>E10-'01_管理'!$B$7</f>
        <v>596.2640636839458</v>
      </c>
      <c r="F16" s="11">
        <f>F10-'01_管理'!$B$7</f>
        <v>1024.2230469044182</v>
      </c>
      <c r="G16" s="11">
        <f>G10-'01_管理'!$B$7</f>
        <v>1633.7433891161181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</sheetData>
  <mergeCells count="2">
    <mergeCell ref="A1:Q1"/>
    <mergeCell ref="A2:Q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7" width="16" customWidth="1"/>
  </cols>
  <sheetData>
    <row r="1" spans="1:17" x14ac:dyDescent="0.25">
      <c r="A1" s="1" t="s">
        <v>157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5" t="s">
        <v>158</v>
      </c>
      <c r="B4" s="5" t="s">
        <v>159</v>
      </c>
      <c r="C4" s="5" t="s">
        <v>160</v>
      </c>
      <c r="D4" s="5" t="s">
        <v>161</v>
      </c>
      <c r="E4" s="5" t="s">
        <v>162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3" t="s">
        <v>163</v>
      </c>
      <c r="B8" s="3" t="s">
        <v>164</v>
      </c>
      <c r="C8" s="12">
        <f>MAX(ABS('13_BS'!C13-'13_BS'!C19),ABS('13_BS'!D13-'13_BS'!D19),ABS('13_BS'!E13-'13_BS'!E19),ABS('13_BS'!F13-'13_BS'!F19),ABS('13_BS'!G13-'13_BS'!G19))</f>
        <v>0</v>
      </c>
      <c r="D8" s="4" t="str">
        <f>IF(ABS(C8)&lt;0.1,"適合","不適合")</f>
        <v>適合</v>
      </c>
      <c r="E8" s="3" t="s">
        <v>145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 t="s">
        <v>165</v>
      </c>
      <c r="B9" s="3" t="s">
        <v>164</v>
      </c>
      <c r="C9" s="12">
        <f>MAX(ABS('13_BS'!C8-'14_CF'!C20),ABS('13_BS'!D8-'14_CF'!D20),ABS('13_BS'!E8-'14_CF'!E20),ABS('13_BS'!F8-'14_CF'!F20),ABS('13_BS'!G8-'14_CF'!G20))</f>
        <v>0</v>
      </c>
      <c r="D9" s="4" t="str">
        <f>IF(ABS(C9)&lt;0.1,"適合","不適合")</f>
        <v>適合</v>
      </c>
      <c r="E9" s="3" t="s">
        <v>166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3" t="s">
        <v>167</v>
      </c>
      <c r="B10" s="3" t="s">
        <v>164</v>
      </c>
      <c r="C10" s="12">
        <f>MAX(ABS('10_固定資産'!C8+'10_固定資産'!C9+'10_固定資産'!C10-'10_固定資産'!C11),ABS('10_固定資産'!D8+'10_固定資産'!D9+'10_固定資産'!D10-'10_固定資産'!D11),ABS('10_固定資産'!E8+'10_固定資産'!E9+'10_固定資産'!E10-'10_固定資産'!E11),ABS('10_固定資産'!F8+'10_固定資産'!F9+'10_固定資産'!F10-'10_固定資産'!F11),ABS('10_固定資産'!G8+'10_固定資産'!G9+'10_固定資産'!G10-'10_固定資産'!G11))</f>
        <v>0</v>
      </c>
      <c r="D10" s="4" t="str">
        <f>IF(ABS(C10)&lt;0.1,"適合","不適合")</f>
        <v>適合</v>
      </c>
      <c r="E10" s="3" t="s">
        <v>37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3" t="s">
        <v>168</v>
      </c>
      <c r="B11" s="3" t="s">
        <v>164</v>
      </c>
      <c r="C11" s="12">
        <f>MAX(ABS('11_借入金'!C8+'11_借入金'!C9+'11_借入金'!C10-'11_借入金'!C11),ABS('11_借入金'!D8+'11_借入金'!D9+'11_借入金'!D10-'11_借入金'!D11),ABS('11_借入金'!E8+'11_借入金'!E9+'11_借入金'!E10-'11_借入金'!E11),ABS('11_借入金'!F8+'11_借入金'!F9+'11_借入金'!F10-'11_借入金'!F11),ABS('11_借入金'!G8+'11_借入金'!G9+'11_借入金'!G10-'11_借入金'!G11))</f>
        <v>0</v>
      </c>
      <c r="D11" s="4" t="str">
        <f>IF(ABS(C11)&lt;0.1,"適合","不適合")</f>
        <v>適合</v>
      </c>
      <c r="E11" s="3" t="s">
        <v>43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 t="s">
        <v>169</v>
      </c>
      <c r="B12" s="3" t="s">
        <v>170</v>
      </c>
      <c r="C12" s="12">
        <f>(55-COUNTA('12_PL'!C8:G18))+(60-COUNTA('13_BS'!C8:G19))+(40-COUNTA('14_CF'!C8:G10)-COUNTA('14_CF'!C12:G12)-COUNTA('14_CF'!C14:G14)-COUNTA('14_CF'!C16:G16)-COUNTA('14_CF'!C19:G20))</f>
        <v>0</v>
      </c>
      <c r="D12" s="4" t="str">
        <f>IF(ABS(C12)&lt;0.1,"適合","不適合")</f>
        <v>適合</v>
      </c>
      <c r="E12" s="3" t="s">
        <v>171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3" t="s">
        <v>172</v>
      </c>
      <c r="B13" s="3" t="s">
        <v>170</v>
      </c>
      <c r="C13" s="12">
        <f>COUNTIFS('17_指摘事項'!C5:C50,"Critical",'17_指摘事項'!G5:G50,"&lt;&gt;対応済")</f>
        <v>0</v>
      </c>
      <c r="D13" s="4" t="str">
        <f>IF(ABS(C13)&lt;0.1,"適合","不適合")</f>
        <v>適合</v>
      </c>
      <c r="E13" s="3" t="s">
        <v>173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" t="s">
        <v>174</v>
      </c>
      <c r="B14" s="3" t="s">
        <v>175</v>
      </c>
      <c r="C14" s="12">
        <f>COUNTBLANK('05_前提条件'!G8:G21)</f>
        <v>0</v>
      </c>
      <c r="D14" s="4" t="str">
        <f>IF(ABS(C14)&lt;0.1,"適合","不適合")</f>
        <v>適合</v>
      </c>
      <c r="E14" s="3" t="s">
        <v>86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3" t="s">
        <v>176</v>
      </c>
      <c r="B15" s="3" t="s">
        <v>177</v>
      </c>
      <c r="C15" s="12">
        <f>COUNTIF(D8:D14,"不適合")</f>
        <v>0</v>
      </c>
      <c r="D15" s="4" t="str">
        <f>IF(C15&gt;0,"Not ready",IF(COUNTIFS('17_指摘事項'!C5:C50,"Major",'17_指摘事項'!G5:G50,"&lt;&gt;対応済")&gt;0,"Ready with caveats","Ready"))</f>
        <v>Ready with caveats</v>
      </c>
      <c r="E15" s="3" t="s">
        <v>173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</sheetData>
  <mergeCells count="2">
    <mergeCell ref="A1:Q1"/>
    <mergeCell ref="A2:Q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7" width="16" customWidth="1"/>
  </cols>
  <sheetData>
    <row r="1" spans="1:17" x14ac:dyDescent="0.25">
      <c r="A1" s="1" t="s">
        <v>173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5" t="s">
        <v>77</v>
      </c>
      <c r="B4" s="5" t="s">
        <v>178</v>
      </c>
      <c r="C4" s="5" t="s">
        <v>179</v>
      </c>
      <c r="D4" s="5" t="s">
        <v>180</v>
      </c>
      <c r="E4" s="5" t="s">
        <v>181</v>
      </c>
      <c r="F4" s="5" t="s">
        <v>182</v>
      </c>
      <c r="G4" s="5" t="s">
        <v>183</v>
      </c>
      <c r="H4" s="5" t="s">
        <v>184</v>
      </c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>
        <v>1</v>
      </c>
      <c r="B5" s="3" t="s">
        <v>185</v>
      </c>
      <c r="C5" s="3" t="s">
        <v>186</v>
      </c>
      <c r="D5" s="3" t="s">
        <v>187</v>
      </c>
      <c r="E5" s="3" t="s">
        <v>188</v>
      </c>
      <c r="F5" s="3" t="s">
        <v>189</v>
      </c>
      <c r="G5" s="3" t="s">
        <v>190</v>
      </c>
      <c r="H5" s="3" t="s">
        <v>191</v>
      </c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</sheetData>
  <mergeCells count="2">
    <mergeCell ref="A1:Q1"/>
    <mergeCell ref="A2:Q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7" width="16" customWidth="1"/>
  </cols>
  <sheetData>
    <row r="1" spans="1:17" x14ac:dyDescent="0.25">
      <c r="A1" s="1" t="s">
        <v>192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5" t="s">
        <v>193</v>
      </c>
      <c r="B4" s="5" t="s">
        <v>194</v>
      </c>
      <c r="C4" s="5" t="s">
        <v>195</v>
      </c>
      <c r="D4" s="5" t="s">
        <v>196</v>
      </c>
      <c r="E4" s="5" t="s">
        <v>197</v>
      </c>
      <c r="F4" s="5" t="s">
        <v>198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 t="s">
        <v>199</v>
      </c>
      <c r="B5" s="3" t="s">
        <v>200</v>
      </c>
      <c r="C5" s="3" t="s">
        <v>201</v>
      </c>
      <c r="D5" s="3" t="s">
        <v>202</v>
      </c>
      <c r="E5" s="3" t="s">
        <v>203</v>
      </c>
      <c r="F5" s="3" t="s">
        <v>204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</sheetData>
  <mergeCells count="2">
    <mergeCell ref="A1:Q1"/>
    <mergeCell ref="A2:Q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00_表紙</vt:lpstr>
      <vt:lpstr>01_管理</vt:lpstr>
      <vt:lpstr>02_資料管理</vt:lpstr>
      <vt:lpstr>03_実績財務諸表</vt:lpstr>
      <vt:lpstr>04_正常化調整</vt:lpstr>
      <vt:lpstr>05_前提条件</vt:lpstr>
      <vt:lpstr>06_売上高</vt:lpstr>
      <vt:lpstr>07_原価</vt:lpstr>
      <vt:lpstr>08_人員</vt:lpstr>
      <vt:lpstr>09_運転資本</vt:lpstr>
      <vt:lpstr>10_固定資産</vt:lpstr>
      <vt:lpstr>11_借入金</vt:lpstr>
      <vt:lpstr>12_PL</vt:lpstr>
      <vt:lpstr>13_BS</vt:lpstr>
      <vt:lpstr>14_CF</vt:lpstr>
      <vt:lpstr>15_出力</vt:lpstr>
      <vt:lpstr>16_チェック</vt:lpstr>
      <vt:lpstr>17_指摘事項</vt:lpstr>
      <vt:lpstr>18_変更履歴</vt:lpstr>
    </vt:vector>
  </TitlesOfParts>
  <Company>Finance Modeling Lab 編集部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Modeling Lab 編集部</dc:creator>
  <dc:title/>
  <dc:subject/>
  <dc:description/>
  <cp:keywords/>
  <cp:category/>
  <cp:lastModifiedBy>Unknown</cp:lastModifiedBy>
  <dcterms:created xsi:type="dcterms:W3CDTF">2026-07-25T00:00:00Z</dcterms:created>
  <dcterms:modified xsi:type="dcterms:W3CDTF">2026-07-25T00:00:00Z</dcterms:modified>
</cp:coreProperties>
</file>