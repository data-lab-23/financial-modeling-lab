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使い方" state="visible" r:id="rId4"/>
    <sheet sheetId="2" name="01_月次試算表" state="visible" r:id="rId5"/>
    <sheet sheetId="3" name="02_勘定科目明細" state="visible" r:id="rId6"/>
    <sheet sheetId="4" name="03_販売実績" state="visible" r:id="rId7"/>
    <sheet sheetId="5" name="04_事業計画" state="visible" r:id="rId8"/>
    <sheet sheetId="6" name="05_固定資産台帳" state="visible" r:id="rId9"/>
    <sheet sheetId="7" name="06_借入金明細" state="visible" r:id="rId10"/>
    <sheet sheetId="8" name="07_運転資本明細" state="visible" r:id="rId11"/>
    <sheet sheetId="9" name="08_資料管理" state="visible" r:id="rId12"/>
    <sheet sheetId="10" name="09_勘定科目対応" state="visible" r:id="rId13"/>
  </sheets>
  <definedNames>
    <definedName name="_xlnm.Print_Area" localSheetId="0">'00_使い方'!$A1:$Q60</definedName>
    <definedName name="_xlnm.Print_Area" localSheetId="1">'01_月次試算表'!$A1:$Q60</definedName>
    <definedName name="_xlnm.Print_Area" localSheetId="2">'02_勘定科目明細'!$A1:$Q60</definedName>
    <definedName name="_xlnm.Print_Area" localSheetId="3">'03_販売実績'!$A1:$Q60</definedName>
    <definedName name="_xlnm.Print_Area" localSheetId="4">'04_事業計画'!$A1:$Q60</definedName>
    <definedName name="_xlnm.Print_Area" localSheetId="5">'05_固定資産台帳'!$A1:$Q60</definedName>
    <definedName name="_xlnm.Print_Area" localSheetId="6">'06_借入金明細'!$A1:$Q60</definedName>
    <definedName name="_xlnm.Print_Area" localSheetId="7">'07_運転資本明細'!$A1:$Q60</definedName>
    <definedName name="_xlnm.Print_Area" localSheetId="8">'08_資料管理'!$A1:$Q60</definedName>
    <definedName name="_xlnm.Print_Area" localSheetId="9">'09_勘定科目対応'!$A1:$Q60</definedName>
  </definedNames>
  <calcPr calcId="171027" fullCalcOnLoad="1"/>
</workbook>
</file>

<file path=xl/sharedStrings.xml><?xml version="1.0" encoding="utf-8"?>
<sst xmlns="http://schemas.openxmlformats.org/spreadsheetml/2006/main" count="297" uniqueCount="182">
  <si>
    <t>00_使い方</t>
  </si>
  <si>
    <t>東都精密工業株式会社｜受領資料｜単位：百万円</t>
  </si>
  <si>
    <t>会社名</t>
  </si>
  <si>
    <t>東都精密工業株式会社</t>
  </si>
  <si>
    <t>項目</t>
  </si>
  <si>
    <t>内容</t>
  </si>
  <si>
    <t>確認</t>
  </si>
  <si>
    <t>作業目的</t>
  </si>
  <si>
    <t>受領資料を残高試算表からPL・BSへ組み替え、完成三表モデルの実績値へ接続する</t>
  </si>
  <si>
    <t>資料番号と勘定科目対応を記録</t>
  </si>
  <si>
    <t>意図的な差異</t>
  </si>
  <si>
    <t>固定資産台帳と借入金明細には、試算表との確認対象差異を含む</t>
  </si>
  <si>
    <t>差額を原因不明のままモデルへ入れない</t>
  </si>
  <si>
    <t>完成成果物</t>
  </si>
  <si>
    <t>資料管理表、勘定科目対応表、実績財務諸表、正常化調整一覧</t>
  </si>
  <si>
    <t>元資料からモデルセルまで追跡可能にする</t>
  </si>
  <si>
    <t>01_月次試算表</t>
  </si>
  <si>
    <t>勘定科目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</si>
  <si>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</si>
  <si>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</si>
  <si>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</si>
  <si>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</si>
  <si>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</si>
  <si>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</si>
  <si>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</si>
  <si>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</si>
  <si>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</si>
  <si>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13月</t>
  </si>
  <si>
    <t>14月</t>
  </si>
  <si>
    <t>15月</t>
  </si>
  <si>
    <t>年度計</t>
  </si>
  <si>
    <t>区分</t>
  </si>
  <si>
    <t>年度末残高</t>
  </si>
  <si>
    <t>残高方向</t>
  </si>
  <si>
    <t>現預金</t>
  </si>
  <si>
    <t>BS</t>
  </si>
  <si>
    <t>借方</t>
  </si>
  <si>
    <t>売掛金</t>
  </si>
  <si>
    <t>棚卸資産</t>
  </si>
  <si>
    <t>固定資産</t>
  </si>
  <si>
    <t>その他資産</t>
  </si>
  <si>
    <t>買掛金</t>
  </si>
  <si>
    <t>貸方</t>
  </si>
  <si>
    <t>有利子負債</t>
  </si>
  <si>
    <t>その他負債</t>
  </si>
  <si>
    <t>資本金等</t>
  </si>
  <si>
    <t>利益剰余金</t>
  </si>
  <si>
    <t>売上高</t>
  </si>
  <si>
    <t>PL</t>
  </si>
  <si>
    <t>売上原価</t>
  </si>
  <si>
    <t>販売費及び一般管理費（減価償却費除く）</t>
  </si>
  <si>
    <t>減価償却費</t>
  </si>
  <si>
    <t>支払利息</t>
  </si>
  <si>
    <t>法人税等</t>
  </si>
  <si>
    <t>02_勘定科目明細</t>
  </si>
  <si>
    <t>伝票日</t>
  </si>
  <si>
    <t>伝票番号</t>
  </si>
  <si>
    <t>摘要</t>
  </si>
  <si>
    <t>確認事項</t>
  </si>
  <si>
    <t>2025/03/31</t>
  </si>
  <si>
    <t>JV-250331-01</t>
  </si>
  <si>
    <t>外注費</t>
  </si>
  <si>
    <t>請求書未着分</t>
  </si>
  <si>
    <t>検収記録と照合</t>
  </si>
  <si>
    <t>JV-250331-02</t>
  </si>
  <si>
    <t>役員退職金</t>
  </si>
  <si>
    <t>退任役員1名</t>
  </si>
  <si>
    <t>正常化調整候補</t>
  </si>
  <si>
    <t>JV-250331-03</t>
  </si>
  <si>
    <t>期末償却</t>
  </si>
  <si>
    <t>固定資産台帳と照合</t>
  </si>
  <si>
    <t>03_販売実績</t>
  </si>
  <si>
    <t>製品</t>
  </si>
  <si>
    <t>地域</t>
  </si>
  <si>
    <t>販売数量</t>
  </si>
  <si>
    <t>平均販売単価</t>
  </si>
  <si>
    <t>構成比</t>
  </si>
  <si>
    <t>製品A</t>
  </si>
  <si>
    <t>国内</t>
  </si>
  <si>
    <t>海外</t>
  </si>
  <si>
    <t>製品B</t>
  </si>
  <si>
    <t>04_事業計画</t>
  </si>
  <si>
    <t>2026年3月期</t>
  </si>
  <si>
    <t>2027年3月期</t>
  </si>
  <si>
    <t>2028年3月期</t>
  </si>
  <si>
    <t>2029年3月期</t>
  </si>
  <si>
    <t>2030年3月期</t>
  </si>
  <si>
    <t>数量×単価の積上げ計画10,504との差異を確認</t>
  </si>
  <si>
    <t>設備投資</t>
  </si>
  <si>
    <t>固定資産台帳と設備投資計画を照合</t>
  </si>
  <si>
    <t>借入金返済</t>
  </si>
  <si>
    <t>借入金明細の約定返済と照合</t>
  </si>
  <si>
    <t>05_固定資産台帳</t>
  </si>
  <si>
    <t>資産番号</t>
  </si>
  <si>
    <t>資産名</t>
  </si>
  <si>
    <t>取得価額</t>
  </si>
  <si>
    <t>累計償却</t>
  </si>
  <si>
    <t>当期増減</t>
  </si>
  <si>
    <t>期末帳簿価額</t>
  </si>
  <si>
    <t>試算表差額</t>
  </si>
  <si>
    <t>FA-001</t>
  </si>
  <si>
    <t>本社工場</t>
  </si>
  <si>
    <t>FA-002</t>
  </si>
  <si>
    <t>製造設備A</t>
  </si>
  <si>
    <t>FA-003</t>
  </si>
  <si>
    <t>製造設備B</t>
  </si>
  <si>
    <t>FA-004</t>
  </si>
  <si>
    <t>工具器具備品</t>
  </si>
  <si>
    <t>台帳合計</t>
  </si>
  <si>
    <t>06_借入金明細</t>
  </si>
  <si>
    <t>金融機関</t>
  </si>
  <si>
    <t>契約番号</t>
  </si>
  <si>
    <t>金利</t>
  </si>
  <si>
    <t>最終期限</t>
  </si>
  <si>
    <t>約定返済</t>
  </si>
  <si>
    <t>期末残高</t>
  </si>
  <si>
    <t>A銀行</t>
  </si>
  <si>
    <t>TL-01</t>
  </si>
  <si>
    <t>2029/03/31</t>
  </si>
  <si>
    <t>B銀行</t>
  </si>
  <si>
    <t>TL-02</t>
  </si>
  <si>
    <t>2027/03/31</t>
  </si>
  <si>
    <t>明細合計</t>
  </si>
  <si>
    <t>07_運転資本明細</t>
  </si>
  <si>
    <t>相手先・品目</t>
  </si>
  <si>
    <t>契約条件</t>
  </si>
  <si>
    <t>実績日数</t>
  </si>
  <si>
    <t>主要顧客合計</t>
  </si>
  <si>
    <t>月末締め翌月末</t>
  </si>
  <si>
    <t>検収時期を含む</t>
  </si>
  <si>
    <t>原材料・仕掛品・製品</t>
  </si>
  <si>
    <t>安全在庫2か月</t>
  </si>
  <si>
    <t>滞留在庫を確認</t>
  </si>
  <si>
    <t>主要仕入先合計</t>
  </si>
  <si>
    <t>材料費を基礎</t>
  </si>
  <si>
    <t>08_資料管理</t>
  </si>
  <si>
    <t>資料番号</t>
  </si>
  <si>
    <t>資料名</t>
  </si>
  <si>
    <t>基準日</t>
  </si>
  <si>
    <t>入手元</t>
  </si>
  <si>
    <t>使用先</t>
  </si>
  <si>
    <t>差異・不足</t>
  </si>
  <si>
    <t>状況</t>
  </si>
  <si>
    <t>担当者</t>
  </si>
  <si>
    <t>S-01</t>
  </si>
  <si>
    <t>月次試算表</t>
  </si>
  <si>
    <t>経理部</t>
  </si>
  <si>
    <t>03_実績財務諸表</t>
  </si>
  <si>
    <t>なし</t>
  </si>
  <si>
    <t>確認済</t>
  </si>
  <si>
    <t>モデル担当</t>
  </si>
  <si>
    <t>S-02</t>
  </si>
  <si>
    <t>固定資産台帳</t>
  </si>
  <si>
    <t>10_固定資産</t>
  </si>
  <si>
    <t>試算表より60少ない</t>
  </si>
  <si>
    <t>要確認</t>
  </si>
  <si>
    <t>S-03</t>
  </si>
  <si>
    <t>借入金明細</t>
  </si>
  <si>
    <t>財務部</t>
  </si>
  <si>
    <t>11_借入金</t>
  </si>
  <si>
    <t>試算表より50少ない</t>
  </si>
  <si>
    <t>S-04</t>
  </si>
  <si>
    <t>勘定科目対応表</t>
  </si>
  <si>
    <t>全主要科目を対応済</t>
  </si>
  <si>
    <t>レビュー担当</t>
  </si>
  <si>
    <t>09_勘定科目対応</t>
  </si>
  <si>
    <t>受領勘定科目</t>
  </si>
  <si>
    <t>モデルシート</t>
  </si>
  <si>
    <t>モデル行</t>
  </si>
  <si>
    <t>符号</t>
  </si>
  <si>
    <t>調整方針</t>
  </si>
  <si>
    <t>13_BS</t>
  </si>
  <si>
    <t>試算表残高を採用</t>
  </si>
  <si>
    <t>運転資本明細と照合</t>
  </si>
  <si>
    <t>滞留在庫は別途評価</t>
  </si>
  <si>
    <t>台帳差額60は試算表残高へ調整</t>
  </si>
  <si>
    <t>明細差額50は未受領契約として確認</t>
  </si>
  <si>
    <t>12_PL</t>
  </si>
  <si>
    <t>販売実績と照合</t>
  </si>
  <si>
    <t>材料費・労務費・その他へ分解</t>
  </si>
  <si>
    <t>販売費及び一般管理費</t>
  </si>
  <si>
    <t>役員退職金80を正常化調整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</si>
</sst>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5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sz val="10"/>
      <name val="Yu Gothic"/>
    </font>
    <font>
      <color rgb="FFFFFFFF"/>
      <sz val="10"/>
      <name val="Yu Gothic"/>
    </font>
  </fonts>
  <fills count="5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64" fontId="3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 t="s">
        <v>2</v>
      </c>
      <c r="B3" s="3" t="s"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7</v>
      </c>
      <c r="B5" s="3" t="s">
        <v>8</v>
      </c>
      <c r="C5" s="3" t="s">
        <v>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10</v>
      </c>
      <c r="B6" s="3" t="s">
        <v>11</v>
      </c>
      <c r="C6" s="3" t="s">
        <v>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13</v>
      </c>
      <c r="B7" s="3" t="s">
        <v>14</v>
      </c>
      <c r="C7" s="3" t="s">
        <v>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L4" s="4" t="s">
        <v>28</v>
      </c>
      <c r="M4" s="4" t="s">
        <v>29</v>
      </c>
      <c r="N4" s="4" t="s">
        <v>30</v>
      </c>
      <c r="O4" s="4" t="s">
        <v>31</v>
      </c>
      <c r="P4" s="4" t="s">
        <v>32</v>
      </c>
      <c r="Q4" s="4" t="s">
        <v>33</v>
      </c>
    </row>
    <row r="5" spans="1:17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34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5">
        <f>SUM(B6:M6)</f>
        <v>0</v>
      </c>
      <c r="O6" s="3" t="s">
        <v>35</v>
      </c>
      <c r="P6" s="3">
        <v>600</v>
      </c>
      <c r="Q6" s="3" t="s">
        <v>36</v>
      </c>
    </row>
    <row r="7" spans="1:17" x14ac:dyDescent="0.25">
      <c r="A7" s="3" t="s">
        <v>37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5">
        <f>SUM(B7:M7)</f>
        <v>0</v>
      </c>
      <c r="O7" s="3" t="s">
        <v>35</v>
      </c>
      <c r="P7" s="3">
        <v>1500</v>
      </c>
      <c r="Q7" s="3" t="s">
        <v>36</v>
      </c>
    </row>
    <row r="8" spans="1:17" x14ac:dyDescent="0.25">
      <c r="A8" s="3" t="s">
        <v>38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5">
        <f>SUM(B8:M8)</f>
        <v>0</v>
      </c>
      <c r="O8" s="3" t="s">
        <v>35</v>
      </c>
      <c r="P8" s="3">
        <v>1200</v>
      </c>
      <c r="Q8" s="3" t="s">
        <v>36</v>
      </c>
    </row>
    <row r="9" spans="1:17" x14ac:dyDescent="0.25">
      <c r="A9" s="3" t="s">
        <v>39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5">
        <f>SUM(B9:M9)</f>
        <v>0</v>
      </c>
      <c r="O9" s="3" t="s">
        <v>35</v>
      </c>
      <c r="P9" s="3">
        <v>3000</v>
      </c>
      <c r="Q9" s="3" t="s">
        <v>36</v>
      </c>
    </row>
    <row r="10" spans="1:17" x14ac:dyDescent="0.25">
      <c r="A10" s="3" t="s">
        <v>40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5">
        <f>SUM(B10:M10)</f>
        <v>0</v>
      </c>
      <c r="O10" s="3" t="s">
        <v>35</v>
      </c>
      <c r="P10" s="3">
        <v>760</v>
      </c>
      <c r="Q10" s="3" t="s">
        <v>36</v>
      </c>
    </row>
    <row r="11" spans="1:17" x14ac:dyDescent="0.25">
      <c r="A11" s="3" t="s">
        <v>41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5">
        <f>SUM(B11:M11)</f>
        <v>0</v>
      </c>
      <c r="O11" s="3" t="s">
        <v>35</v>
      </c>
      <c r="P11" s="3">
        <v>900</v>
      </c>
      <c r="Q11" s="3" t="s">
        <v>42</v>
      </c>
    </row>
    <row r="12" spans="1:17" x14ac:dyDescent="0.25">
      <c r="A12" s="3" t="s">
        <v>43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5">
        <f>SUM(B12:M12)</f>
        <v>0</v>
      </c>
      <c r="O12" s="3" t="s">
        <v>35</v>
      </c>
      <c r="P12" s="3">
        <v>2000</v>
      </c>
      <c r="Q12" s="3" t="s">
        <v>42</v>
      </c>
    </row>
    <row r="13" spans="1:17" x14ac:dyDescent="0.25">
      <c r="A13" s="3" t="s">
        <v>44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5">
        <f>SUM(B13:M13)</f>
        <v>0</v>
      </c>
      <c r="O13" s="3" t="s">
        <v>35</v>
      </c>
      <c r="P13" s="3">
        <v>1100</v>
      </c>
      <c r="Q13" s="3" t="s">
        <v>42</v>
      </c>
    </row>
    <row r="14" spans="1:17" x14ac:dyDescent="0.25">
      <c r="A14" s="3" t="s">
        <v>45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5">
        <f>SUM(B14:M14)</f>
        <v>0</v>
      </c>
      <c r="O14" s="3" t="s">
        <v>35</v>
      </c>
      <c r="P14" s="3">
        <v>1500</v>
      </c>
      <c r="Q14" s="3" t="s">
        <v>42</v>
      </c>
    </row>
    <row r="15" spans="1:17" x14ac:dyDescent="0.25">
      <c r="A15" s="3" t="s">
        <v>46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5">
        <f>SUM(B15:M15)</f>
        <v>0</v>
      </c>
      <c r="O15" s="3" t="s">
        <v>35</v>
      </c>
      <c r="P15" s="3">
        <v>1560</v>
      </c>
      <c r="Q15" s="3" t="s">
        <v>42</v>
      </c>
    </row>
    <row r="16" spans="1:17" x14ac:dyDescent="0.25">
      <c r="A16" s="3" t="s">
        <v>47</v>
      </c>
      <c r="B16" s="3">
        <v>780</v>
      </c>
      <c r="C16" s="3">
        <v>790</v>
      </c>
      <c r="D16" s="3">
        <v>800</v>
      </c>
      <c r="E16" s="3">
        <v>810</v>
      </c>
      <c r="F16" s="3">
        <v>820</v>
      </c>
      <c r="G16" s="3">
        <v>830</v>
      </c>
      <c r="H16" s="3">
        <v>840</v>
      </c>
      <c r="I16" s="3">
        <v>850</v>
      </c>
      <c r="J16" s="3">
        <v>860</v>
      </c>
      <c r="K16" s="3">
        <v>870</v>
      </c>
      <c r="L16" s="3">
        <v>880</v>
      </c>
      <c r="M16" s="3">
        <v>870</v>
      </c>
      <c r="N16" s="5">
        <f>SUM(B16:M16)</f>
        <v>10000</v>
      </c>
      <c r="O16" s="3" t="s">
        <v>48</v>
      </c>
      <c r="P16" s="3">
        <v>10000</v>
      </c>
      <c r="Q16" s="3" t="s">
        <v>42</v>
      </c>
    </row>
    <row r="17" spans="1:17" x14ac:dyDescent="0.25">
      <c r="A17" s="3" t="s">
        <v>49</v>
      </c>
      <c r="B17" s="3">
        <v>546</v>
      </c>
      <c r="C17" s="3">
        <v>553</v>
      </c>
      <c r="D17" s="3">
        <v>560</v>
      </c>
      <c r="E17" s="3">
        <v>567</v>
      </c>
      <c r="F17" s="3">
        <v>574</v>
      </c>
      <c r="G17" s="3">
        <v>581</v>
      </c>
      <c r="H17" s="3">
        <v>588</v>
      </c>
      <c r="I17" s="3">
        <v>595</v>
      </c>
      <c r="J17" s="3">
        <v>602</v>
      </c>
      <c r="K17" s="3">
        <v>609</v>
      </c>
      <c r="L17" s="3">
        <v>616</v>
      </c>
      <c r="M17" s="3">
        <v>609</v>
      </c>
      <c r="N17" s="5">
        <f>SUM(B17:M17)</f>
        <v>7000</v>
      </c>
      <c r="O17" s="3" t="s">
        <v>48</v>
      </c>
      <c r="P17" s="3">
        <v>7000</v>
      </c>
      <c r="Q17" s="3" t="s">
        <v>36</v>
      </c>
    </row>
    <row r="18" spans="1:17" x14ac:dyDescent="0.25">
      <c r="A18" s="3" t="s">
        <v>50</v>
      </c>
      <c r="B18" s="3">
        <v>125</v>
      </c>
      <c r="C18" s="3">
        <v>125</v>
      </c>
      <c r="D18" s="3">
        <v>125</v>
      </c>
      <c r="E18" s="3">
        <v>125</v>
      </c>
      <c r="F18" s="3">
        <v>125</v>
      </c>
      <c r="G18" s="3">
        <v>125</v>
      </c>
      <c r="H18" s="3">
        <v>125</v>
      </c>
      <c r="I18" s="3">
        <v>125</v>
      </c>
      <c r="J18" s="3">
        <v>125</v>
      </c>
      <c r="K18" s="3">
        <v>125</v>
      </c>
      <c r="L18" s="3">
        <v>125</v>
      </c>
      <c r="M18" s="3">
        <v>125</v>
      </c>
      <c r="N18" s="5">
        <f>SUM(B18:M18)</f>
        <v>1500</v>
      </c>
      <c r="O18" s="3" t="s">
        <v>48</v>
      </c>
      <c r="P18" s="3">
        <v>1500</v>
      </c>
      <c r="Q18" s="3" t="s">
        <v>36</v>
      </c>
    </row>
    <row r="19" spans="1:17" x14ac:dyDescent="0.25">
      <c r="A19" s="3" t="s">
        <v>51</v>
      </c>
      <c r="B19" s="3">
        <v>25</v>
      </c>
      <c r="C19" s="3">
        <v>25</v>
      </c>
      <c r="D19" s="3">
        <v>25</v>
      </c>
      <c r="E19" s="3">
        <v>25</v>
      </c>
      <c r="F19" s="3">
        <v>25</v>
      </c>
      <c r="G19" s="3">
        <v>25</v>
      </c>
      <c r="H19" s="3">
        <v>25</v>
      </c>
      <c r="I19" s="3">
        <v>25</v>
      </c>
      <c r="J19" s="3">
        <v>25</v>
      </c>
      <c r="K19" s="3">
        <v>25</v>
      </c>
      <c r="L19" s="3">
        <v>25</v>
      </c>
      <c r="M19" s="3">
        <v>25</v>
      </c>
      <c r="N19" s="5">
        <f>SUM(B19:M19)</f>
        <v>300</v>
      </c>
      <c r="O19" s="3" t="s">
        <v>48</v>
      </c>
      <c r="P19" s="3">
        <v>300</v>
      </c>
      <c r="Q19" s="3" t="s">
        <v>36</v>
      </c>
    </row>
    <row r="20" spans="1:17" x14ac:dyDescent="0.25">
      <c r="A20" s="3" t="s">
        <v>52</v>
      </c>
      <c r="B20" s="3">
        <v>2.5</v>
      </c>
      <c r="C20" s="3">
        <v>2.5</v>
      </c>
      <c r="D20" s="3">
        <v>2.5</v>
      </c>
      <c r="E20" s="3">
        <v>2.5</v>
      </c>
      <c r="F20" s="3">
        <v>2.5</v>
      </c>
      <c r="G20" s="3">
        <v>2.5</v>
      </c>
      <c r="H20" s="3">
        <v>2.5</v>
      </c>
      <c r="I20" s="3">
        <v>2.5</v>
      </c>
      <c r="J20" s="3">
        <v>2.5</v>
      </c>
      <c r="K20" s="3">
        <v>2.5</v>
      </c>
      <c r="L20" s="3">
        <v>2.5</v>
      </c>
      <c r="M20" s="3">
        <v>2.5</v>
      </c>
      <c r="N20" s="5">
        <f>SUM(B20:M20)</f>
        <v>30</v>
      </c>
      <c r="O20" s="3" t="s">
        <v>48</v>
      </c>
      <c r="P20" s="3">
        <v>30</v>
      </c>
      <c r="Q20" s="3" t="s">
        <v>36</v>
      </c>
    </row>
    <row r="21" spans="1:17" x14ac:dyDescent="0.25">
      <c r="A21" s="3" t="s">
        <v>53</v>
      </c>
      <c r="B21" s="3">
        <v>29.25</v>
      </c>
      <c r="C21" s="3">
        <v>29.25</v>
      </c>
      <c r="D21" s="3">
        <v>29.25</v>
      </c>
      <c r="E21" s="3">
        <v>29.25</v>
      </c>
      <c r="F21" s="3">
        <v>29.25</v>
      </c>
      <c r="G21" s="3">
        <v>29.25</v>
      </c>
      <c r="H21" s="3">
        <v>29.25</v>
      </c>
      <c r="I21" s="3">
        <v>29.25</v>
      </c>
      <c r="J21" s="3">
        <v>29.25</v>
      </c>
      <c r="K21" s="3">
        <v>29.25</v>
      </c>
      <c r="L21" s="3">
        <v>29.25</v>
      </c>
      <c r="M21" s="3">
        <v>29.25</v>
      </c>
      <c r="N21" s="5">
        <f>SUM(B21:M21)</f>
        <v>351</v>
      </c>
      <c r="O21" s="3" t="s">
        <v>48</v>
      </c>
      <c r="P21" s="3">
        <v>351</v>
      </c>
      <c r="Q21" s="3" t="s">
        <v>36</v>
      </c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55</v>
      </c>
      <c r="B4" s="4" t="s">
        <v>56</v>
      </c>
      <c r="C4" s="4" t="s">
        <v>17</v>
      </c>
      <c r="D4" s="4" t="s">
        <v>57</v>
      </c>
      <c r="E4" s="4" t="s">
        <v>36</v>
      </c>
      <c r="F4" s="4" t="s">
        <v>42</v>
      </c>
      <c r="G4" s="4" t="s">
        <v>58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59</v>
      </c>
      <c r="B5" s="3" t="s">
        <v>60</v>
      </c>
      <c r="C5" s="3" t="s">
        <v>61</v>
      </c>
      <c r="D5" s="3" t="s">
        <v>62</v>
      </c>
      <c r="E5" s="3">
        <v>120</v>
      </c>
      <c r="F5" s="3">
        <v>0</v>
      </c>
      <c r="G5" s="3" t="s">
        <v>63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59</v>
      </c>
      <c r="B6" s="3" t="s">
        <v>64</v>
      </c>
      <c r="C6" s="3" t="s">
        <v>65</v>
      </c>
      <c r="D6" s="3" t="s">
        <v>66</v>
      </c>
      <c r="E6" s="3">
        <v>80</v>
      </c>
      <c r="F6" s="3">
        <v>0</v>
      </c>
      <c r="G6" s="3" t="s">
        <v>67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59</v>
      </c>
      <c r="B7" s="3" t="s">
        <v>68</v>
      </c>
      <c r="C7" s="3" t="s">
        <v>51</v>
      </c>
      <c r="D7" s="3" t="s">
        <v>69</v>
      </c>
      <c r="E7" s="3">
        <v>300</v>
      </c>
      <c r="F7" s="3">
        <v>0</v>
      </c>
      <c r="G7" s="3" t="s">
        <v>70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72</v>
      </c>
      <c r="B4" s="4" t="s">
        <v>73</v>
      </c>
      <c r="C4" s="4" t="s">
        <v>74</v>
      </c>
      <c r="D4" s="4" t="s">
        <v>75</v>
      </c>
      <c r="E4" s="4" t="s">
        <v>47</v>
      </c>
      <c r="F4" s="4" t="s">
        <v>76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77</v>
      </c>
      <c r="B5" s="3" t="s">
        <v>78</v>
      </c>
      <c r="C5" s="3">
        <v>500</v>
      </c>
      <c r="D5" s="3">
        <v>10</v>
      </c>
      <c r="E5" s="3">
        <v>5000</v>
      </c>
      <c r="F5" s="5">
        <f>E5/SUM($E$5:$E$8)</f>
        <v>0.5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77</v>
      </c>
      <c r="B6" s="3" t="s">
        <v>79</v>
      </c>
      <c r="C6" s="3">
        <v>200</v>
      </c>
      <c r="D6" s="3">
        <v>10</v>
      </c>
      <c r="E6" s="3">
        <v>2000</v>
      </c>
      <c r="F6" s="5">
        <f>E6/SUM($E$5:$E$8)</f>
        <v>0.2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80</v>
      </c>
      <c r="B7" s="3" t="s">
        <v>78</v>
      </c>
      <c r="C7" s="3">
        <v>100</v>
      </c>
      <c r="D7" s="3">
        <v>20</v>
      </c>
      <c r="E7" s="3">
        <v>2000</v>
      </c>
      <c r="F7" s="5">
        <f>E7/SUM($E$5:$E$8)</f>
        <v>0.2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 t="s">
        <v>80</v>
      </c>
      <c r="B8" s="3" t="s">
        <v>79</v>
      </c>
      <c r="C8" s="3">
        <v>50</v>
      </c>
      <c r="D8" s="3">
        <v>20</v>
      </c>
      <c r="E8" s="3">
        <v>1000</v>
      </c>
      <c r="F8" s="5">
        <f>E8/SUM($E$5:$E$8)</f>
        <v>0.1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4</v>
      </c>
      <c r="B4" s="4" t="s">
        <v>82</v>
      </c>
      <c r="C4" s="4" t="s">
        <v>83</v>
      </c>
      <c r="D4" s="4" t="s">
        <v>84</v>
      </c>
      <c r="E4" s="4" t="s">
        <v>85</v>
      </c>
      <c r="F4" s="4" t="s">
        <v>86</v>
      </c>
      <c r="G4" s="4" t="s">
        <v>58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47</v>
      </c>
      <c r="B5" s="3">
        <v>10800</v>
      </c>
      <c r="C5" s="3">
        <v>11500</v>
      </c>
      <c r="D5" s="3">
        <v>12200</v>
      </c>
      <c r="E5" s="3">
        <v>12800</v>
      </c>
      <c r="F5" s="3">
        <v>13400</v>
      </c>
      <c r="G5" s="3" t="s">
        <v>87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88</v>
      </c>
      <c r="B6" s="3">
        <v>650</v>
      </c>
      <c r="C6" s="3">
        <v>700</v>
      </c>
      <c r="D6" s="3">
        <v>650</v>
      </c>
      <c r="E6" s="3">
        <v>600</v>
      </c>
      <c r="F6" s="3">
        <v>600</v>
      </c>
      <c r="G6" s="3" t="s">
        <v>89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90</v>
      </c>
      <c r="B7" s="3">
        <v>350</v>
      </c>
      <c r="C7" s="3">
        <v>350</v>
      </c>
      <c r="D7" s="3">
        <v>300</v>
      </c>
      <c r="E7" s="3">
        <v>300</v>
      </c>
      <c r="F7" s="3">
        <v>200</v>
      </c>
      <c r="G7" s="3" t="s">
        <v>91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93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 t="s">
        <v>100</v>
      </c>
      <c r="B8" s="3" t="s">
        <v>101</v>
      </c>
      <c r="C8" s="3">
        <v>2000</v>
      </c>
      <c r="D8" s="3">
        <v>700</v>
      </c>
      <c r="E8" s="3">
        <v>0</v>
      </c>
      <c r="F8" s="3">
        <v>1300</v>
      </c>
      <c r="G8" s="3">
        <v>0</v>
      </c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 t="s">
        <v>102</v>
      </c>
      <c r="B9" s="3" t="s">
        <v>103</v>
      </c>
      <c r="C9" s="3">
        <v>1500</v>
      </c>
      <c r="D9" s="3">
        <v>700</v>
      </c>
      <c r="E9" s="3">
        <v>100</v>
      </c>
      <c r="F9" s="3">
        <v>900</v>
      </c>
      <c r="G9" s="3">
        <v>0</v>
      </c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 t="s">
        <v>104</v>
      </c>
      <c r="B10" s="3" t="s">
        <v>105</v>
      </c>
      <c r="C10" s="3">
        <v>1200</v>
      </c>
      <c r="D10" s="3">
        <v>600</v>
      </c>
      <c r="E10" s="3">
        <v>40</v>
      </c>
      <c r="F10" s="3">
        <v>640</v>
      </c>
      <c r="G10" s="3"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 t="s">
        <v>106</v>
      </c>
      <c r="B11" s="3" t="s">
        <v>107</v>
      </c>
      <c r="C11" s="3">
        <v>300</v>
      </c>
      <c r="D11" s="3">
        <v>200</v>
      </c>
      <c r="E11" s="3">
        <v>0</v>
      </c>
      <c r="F11" s="3">
        <v>100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 t="s">
        <v>108</v>
      </c>
      <c r="B12" s="3"/>
      <c r="C12" s="3"/>
      <c r="D12" s="3"/>
      <c r="E12" s="3"/>
      <c r="F12" s="5">
        <f>SUM(F8:F11)</f>
        <v>2940</v>
      </c>
      <c r="G12" s="3">
        <v>-60</v>
      </c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110</v>
      </c>
      <c r="B4" s="4" t="s">
        <v>111</v>
      </c>
      <c r="C4" s="4" t="s">
        <v>112</v>
      </c>
      <c r="D4" s="4" t="s">
        <v>113</v>
      </c>
      <c r="E4" s="4" t="s">
        <v>114</v>
      </c>
      <c r="F4" s="4" t="s">
        <v>115</v>
      </c>
      <c r="G4" s="4" t="s">
        <v>99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116</v>
      </c>
      <c r="B6" s="3" t="s">
        <v>117</v>
      </c>
      <c r="C6" s="3">
        <v>0.012</v>
      </c>
      <c r="D6" s="3" t="s">
        <v>118</v>
      </c>
      <c r="E6" s="3">
        <v>200</v>
      </c>
      <c r="F6" s="3">
        <v>1200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119</v>
      </c>
      <c r="B7" s="3" t="s">
        <v>120</v>
      </c>
      <c r="C7" s="3">
        <v>0.015</v>
      </c>
      <c r="D7" s="3" t="s">
        <v>121</v>
      </c>
      <c r="E7" s="3">
        <v>150</v>
      </c>
      <c r="F7" s="3">
        <v>750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 t="s">
        <v>122</v>
      </c>
      <c r="B8" s="3"/>
      <c r="C8" s="3"/>
      <c r="D8" s="3"/>
      <c r="E8" s="3"/>
      <c r="F8" s="5">
        <f>SUM(F6:F7)</f>
        <v>1950</v>
      </c>
      <c r="G8" s="3">
        <v>-50</v>
      </c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31</v>
      </c>
      <c r="B4" s="4" t="s">
        <v>124</v>
      </c>
      <c r="C4" s="4" t="s">
        <v>115</v>
      </c>
      <c r="D4" s="4" t="s">
        <v>125</v>
      </c>
      <c r="E4" s="4" t="s">
        <v>126</v>
      </c>
      <c r="F4" s="4" t="s">
        <v>58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37</v>
      </c>
      <c r="B5" s="3" t="s">
        <v>127</v>
      </c>
      <c r="C5" s="3">
        <v>1500</v>
      </c>
      <c r="D5" s="3" t="s">
        <v>128</v>
      </c>
      <c r="E5" s="3">
        <v>55</v>
      </c>
      <c r="F5" s="3" t="s">
        <v>129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38</v>
      </c>
      <c r="B6" s="3" t="s">
        <v>130</v>
      </c>
      <c r="C6" s="3">
        <v>1200</v>
      </c>
      <c r="D6" s="3" t="s">
        <v>131</v>
      </c>
      <c r="E6" s="3">
        <v>63</v>
      </c>
      <c r="F6" s="3" t="s">
        <v>132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41</v>
      </c>
      <c r="B7" s="3" t="s">
        <v>133</v>
      </c>
      <c r="C7" s="3">
        <v>900</v>
      </c>
      <c r="D7" s="3" t="s">
        <v>128</v>
      </c>
      <c r="E7" s="3">
        <v>47</v>
      </c>
      <c r="F7" s="3" t="s">
        <v>134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135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136</v>
      </c>
      <c r="B4" s="4" t="s">
        <v>137</v>
      </c>
      <c r="C4" s="4" t="s">
        <v>138</v>
      </c>
      <c r="D4" s="4" t="s">
        <v>139</v>
      </c>
      <c r="E4" s="4" t="s">
        <v>140</v>
      </c>
      <c r="F4" s="4" t="s">
        <v>141</v>
      </c>
      <c r="G4" s="4" t="s">
        <v>142</v>
      </c>
      <c r="H4" s="4" t="s">
        <v>143</v>
      </c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144</v>
      </c>
      <c r="B5" s="3" t="s">
        <v>145</v>
      </c>
      <c r="C5" s="3" t="s">
        <v>59</v>
      </c>
      <c r="D5" s="3" t="s">
        <v>146</v>
      </c>
      <c r="E5" s="3" t="s">
        <v>147</v>
      </c>
      <c r="F5" s="3" t="s">
        <v>148</v>
      </c>
      <c r="G5" s="3" t="s">
        <v>149</v>
      </c>
      <c r="H5" s="3" t="s">
        <v>150</v>
      </c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151</v>
      </c>
      <c r="B6" s="3" t="s">
        <v>152</v>
      </c>
      <c r="C6" s="3" t="s">
        <v>59</v>
      </c>
      <c r="D6" s="3" t="s">
        <v>146</v>
      </c>
      <c r="E6" s="3" t="s">
        <v>153</v>
      </c>
      <c r="F6" s="3" t="s">
        <v>154</v>
      </c>
      <c r="G6" s="3" t="s">
        <v>155</v>
      </c>
      <c r="H6" s="3" t="s">
        <v>146</v>
      </c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156</v>
      </c>
      <c r="B7" s="3" t="s">
        <v>157</v>
      </c>
      <c r="C7" s="3" t="s">
        <v>59</v>
      </c>
      <c r="D7" s="3" t="s">
        <v>158</v>
      </c>
      <c r="E7" s="3" t="s">
        <v>159</v>
      </c>
      <c r="F7" s="3" t="s">
        <v>160</v>
      </c>
      <c r="G7" s="3" t="s">
        <v>155</v>
      </c>
      <c r="H7" s="3" t="s">
        <v>158</v>
      </c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 t="s">
        <v>161</v>
      </c>
      <c r="B8" s="3" t="s">
        <v>162</v>
      </c>
      <c r="C8" s="3" t="s">
        <v>59</v>
      </c>
      <c r="D8" s="3" t="s">
        <v>150</v>
      </c>
      <c r="E8" s="3" t="s">
        <v>147</v>
      </c>
      <c r="F8" s="3" t="s">
        <v>163</v>
      </c>
      <c r="G8" s="3" t="s">
        <v>149</v>
      </c>
      <c r="H8" s="3" t="s">
        <v>164</v>
      </c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7" width="16" customWidth="1"/>
  </cols>
  <sheetData>
    <row r="1" spans="1:17" x14ac:dyDescent="0.25">
      <c r="A1" s="1" t="s">
        <v>165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25">
      <c r="A4" s="4" t="s">
        <v>166</v>
      </c>
      <c r="B4" s="4" t="s">
        <v>31</v>
      </c>
      <c r="C4" s="4" t="s">
        <v>167</v>
      </c>
      <c r="D4" s="4" t="s">
        <v>168</v>
      </c>
      <c r="E4" s="4" t="s">
        <v>169</v>
      </c>
      <c r="F4" s="4" t="s">
        <v>136</v>
      </c>
      <c r="G4" s="4" t="s">
        <v>170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3" t="s">
        <v>34</v>
      </c>
      <c r="B5" s="3" t="s">
        <v>35</v>
      </c>
      <c r="C5" s="3" t="s">
        <v>171</v>
      </c>
      <c r="D5" s="3" t="s">
        <v>34</v>
      </c>
      <c r="E5" s="3">
        <v>1</v>
      </c>
      <c r="F5" s="3" t="s">
        <v>144</v>
      </c>
      <c r="G5" s="3" t="s">
        <v>172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3" t="s">
        <v>37</v>
      </c>
      <c r="B6" s="3" t="s">
        <v>35</v>
      </c>
      <c r="C6" s="3" t="s">
        <v>171</v>
      </c>
      <c r="D6" s="3" t="s">
        <v>37</v>
      </c>
      <c r="E6" s="3">
        <v>1</v>
      </c>
      <c r="F6" s="3" t="s">
        <v>144</v>
      </c>
      <c r="G6" s="3" t="s">
        <v>173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3" t="s">
        <v>38</v>
      </c>
      <c r="B7" s="3" t="s">
        <v>35</v>
      </c>
      <c r="C7" s="3" t="s">
        <v>171</v>
      </c>
      <c r="D7" s="3" t="s">
        <v>38</v>
      </c>
      <c r="E7" s="3">
        <v>1</v>
      </c>
      <c r="F7" s="3" t="s">
        <v>144</v>
      </c>
      <c r="G7" s="3" t="s">
        <v>174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25">
      <c r="A8" s="3" t="s">
        <v>39</v>
      </c>
      <c r="B8" s="3" t="s">
        <v>35</v>
      </c>
      <c r="C8" s="3" t="s">
        <v>171</v>
      </c>
      <c r="D8" s="3" t="s">
        <v>39</v>
      </c>
      <c r="E8" s="3">
        <v>1</v>
      </c>
      <c r="F8" s="3" t="s">
        <v>151</v>
      </c>
      <c r="G8" s="3" t="s">
        <v>175</v>
      </c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25">
      <c r="A9" s="3" t="s">
        <v>41</v>
      </c>
      <c r="B9" s="3" t="s">
        <v>35</v>
      </c>
      <c r="C9" s="3" t="s">
        <v>171</v>
      </c>
      <c r="D9" s="3" t="s">
        <v>41</v>
      </c>
      <c r="E9" s="3">
        <v>1</v>
      </c>
      <c r="F9" s="3" t="s">
        <v>144</v>
      </c>
      <c r="G9" s="3" t="s">
        <v>173</v>
      </c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x14ac:dyDescent="0.25">
      <c r="A10" s="3" t="s">
        <v>43</v>
      </c>
      <c r="B10" s="3" t="s">
        <v>35</v>
      </c>
      <c r="C10" s="3" t="s">
        <v>171</v>
      </c>
      <c r="D10" s="3" t="s">
        <v>43</v>
      </c>
      <c r="E10" s="3">
        <v>1</v>
      </c>
      <c r="F10" s="3" t="s">
        <v>156</v>
      </c>
      <c r="G10" s="3" t="s">
        <v>176</v>
      </c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5">
      <c r="A11" s="3" t="s">
        <v>47</v>
      </c>
      <c r="B11" s="3" t="s">
        <v>48</v>
      </c>
      <c r="C11" s="3" t="s">
        <v>177</v>
      </c>
      <c r="D11" s="3" t="s">
        <v>47</v>
      </c>
      <c r="E11" s="3">
        <v>1</v>
      </c>
      <c r="F11" s="3" t="s">
        <v>144</v>
      </c>
      <c r="G11" s="3" t="s">
        <v>178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3" t="s">
        <v>49</v>
      </c>
      <c r="B12" s="3" t="s">
        <v>48</v>
      </c>
      <c r="C12" s="3" t="s">
        <v>177</v>
      </c>
      <c r="D12" s="3" t="s">
        <v>49</v>
      </c>
      <c r="E12" s="3">
        <v>-1</v>
      </c>
      <c r="F12" s="3" t="s">
        <v>144</v>
      </c>
      <c r="G12" s="3" t="s">
        <v>179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3" t="s">
        <v>50</v>
      </c>
      <c r="B13" s="3" t="s">
        <v>48</v>
      </c>
      <c r="C13" s="3" t="s">
        <v>177</v>
      </c>
      <c r="D13" s="3" t="s">
        <v>180</v>
      </c>
      <c r="E13" s="3">
        <v>-1</v>
      </c>
      <c r="F13" s="3" t="s">
        <v>144</v>
      </c>
      <c r="G13" s="3" t="s">
        <v>181</v>
      </c>
      <c r="H13" s="3"/>
      <c r="I13" s="3"/>
      <c r="J13" s="3"/>
      <c r="K13" s="3"/>
      <c r="L13" s="3"/>
      <c r="M13" s="3"/>
      <c r="N13" s="3"/>
      <c r="O13" s="3"/>
      <c r="P13" s="3"/>
      <c r="Q13" s="3"/>
    </row>
  </sheetData>
  <mergeCells count="2">
    <mergeCell ref="A1:Q1"/>
    <mergeCell ref="A2:Q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00_使い方</vt:lpstr>
      <vt:lpstr>01_月次試算表</vt:lpstr>
      <vt:lpstr>02_勘定科目明細</vt:lpstr>
      <vt:lpstr>03_販売実績</vt:lpstr>
      <vt:lpstr>04_事業計画</vt:lpstr>
      <vt:lpstr>05_固定資産台帳</vt:lpstr>
      <vt:lpstr>06_借入金明細</vt:lpstr>
      <vt:lpstr>07_運転資本明細</vt:lpstr>
      <vt:lpstr>08_資料管理</vt:lpstr>
      <vt:lpstr>09_勘定科目対応</vt:lpstr>
    </vt:vector>
  </TitlesOfParts>
  <Company>Finance Modeling Lab 編集部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2026-07-25T00:00:00Z</dcterms:modified>
</cp:coreProperties>
</file>