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使い方" state="visible" r:id="rId4"/>
    <sheet sheetId="2" name="01_月次試算表" state="visible" r:id="rId5"/>
    <sheet sheetId="3" name="02_勘定科目明細" state="visible" r:id="rId6"/>
    <sheet sheetId="4" name="03_販売実績" state="visible" r:id="rId7"/>
    <sheet sheetId="5" name="04_事業計画" state="visible" r:id="rId8"/>
    <sheet sheetId="6" name="05_固定資産台帳" state="visible" r:id="rId9"/>
    <sheet sheetId="7" name="06_借入金明細" state="visible" r:id="rId10"/>
    <sheet sheetId="8" name="07_運転資本明細" state="visible" r:id="rId11"/>
    <sheet sheetId="9" name="08_資料管理" state="visible" r:id="rId12"/>
  </sheets>
  <definedNames>
    <definedName name="_xlnm.Print_Area" localSheetId="0">'00_使い方'!$A1:$N60</definedName>
    <definedName name="_xlnm.Print_Area" localSheetId="1">'01_月次試算表'!$A1:$N60</definedName>
    <definedName name="_xlnm.Print_Area" localSheetId="2">'02_勘定科目明細'!$A1:$N60</definedName>
    <definedName name="_xlnm.Print_Area" localSheetId="3">'03_販売実績'!$A1:$N60</definedName>
    <definedName name="_xlnm.Print_Area" localSheetId="4">'04_事業計画'!$A1:$N60</definedName>
    <definedName name="_xlnm.Print_Area" localSheetId="5">'05_固定資産台帳'!$A1:$N60</definedName>
    <definedName name="_xlnm.Print_Area" localSheetId="6">'06_借入金明細'!$A1:$N60</definedName>
    <definedName name="_xlnm.Print_Area" localSheetId="7">'07_運転資本明細'!$A1:$N60</definedName>
    <definedName name="_xlnm.Print_Area" localSheetId="8">'08_資料管理'!$A1:$N60</definedName>
  </definedNames>
  <calcPr calcId="171027" fullCalcOnLoad="1"/>
</workbook>
</file>

<file path=xl/sharedStrings.xml><?xml version="1.0" encoding="utf-8"?>
<sst xmlns="http://schemas.openxmlformats.org/spreadsheetml/2006/main" count="172" uniqueCount="143">
  <si>
    <t>00_使い方</t>
  </si>
  <si>
    <t>東都精密工業株式会社｜受領資料｜単位：百万円</t>
  </si>
  <si>
    <t>会社名</t>
  </si>
  <si>
    <t>東都精密工業株式会社</t>
  </si>
  <si>
    <t>項目</t>
  </si>
  <si>
    <t>内容</t>
  </si>
  <si>
    <t>確認</t>
  </si>
  <si>
    <t>作業目的</t>
  </si>
  <si>
    <t>資料の基準日・単位・対象範囲を確認し、財務三表モデルの実績値へ組み替える</t>
  </si>
  <si>
    <t>資料管理へ結果を記録</t>
  </si>
  <si>
    <t>意図的な差異</t>
  </si>
  <si>
    <t>固定資産台帳、借入金明細、事業計画に確認対象の差異を含む</t>
  </si>
  <si>
    <t>差額を雑勘定で処理しない</t>
  </si>
  <si>
    <t>成果物</t>
  </si>
  <si>
    <t>資料管理表、実績財務諸表、正常化調整一覧</t>
  </si>
  <si>
    <t>根拠資料からセルまで追跡可能にする</t>
  </si>
  <si>
    <t>01_月次試算表</t>
  </si>
  <si>
    <t>勘定科目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</si>
  <si>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</si>
  <si>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</si>
  <si>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</si>
  <si>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</si>
  <si>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</si>
  <si>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</si>
  <si>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</si>
  <si>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</si>
  <si>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</si>
  <si>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13月</t>
  </si>
  <si>
    <t>14月</t>
  </si>
  <si>
    <t>15月</t>
  </si>
  <si>
    <t>年度計</t>
  </si>
  <si>
    <t>売上高</t>
  </si>
  <si>
    <t>売上原価</t>
  </si>
  <si>
    <t>販売費及び一般管理費</t>
  </si>
  <si>
    <t>減価償却費</t>
  </si>
  <si>
    <t>02_勘定科目明細</t>
  </si>
  <si>
    <t>伝票日</t>
  </si>
  <si>
    <t>伝票番号</t>
  </si>
  <si>
    <t>摘要</t>
  </si>
  <si>
    <t>借方</t>
  </si>
  <si>
    <t>貸方</t>
  </si>
  <si>
    <t>確認事項</t>
  </si>
  <si>
    <t>2025/03/31</t>
  </si>
  <si>
    <t>JV-250331-01</t>
  </si>
  <si>
    <t>外注費</t>
  </si>
  <si>
    <t>請求書未着分</t>
  </si>
  <si>
    <t>検収記録と照合</t>
  </si>
  <si>
    <t>JV-250331-02</t>
  </si>
  <si>
    <t>役員退職金</t>
  </si>
  <si>
    <t>退任役員1名</t>
  </si>
  <si>
    <t>正常化調整候補</t>
  </si>
  <si>
    <t>03_販売実績</t>
  </si>
  <si>
    <t>製品</t>
  </si>
  <si>
    <t>地域</t>
  </si>
  <si>
    <t>販売数量</t>
  </si>
  <si>
    <t>平均販売単価</t>
  </si>
  <si>
    <t>構成比</t>
  </si>
  <si>
    <t>製品A</t>
  </si>
  <si>
    <t>国内</t>
  </si>
  <si>
    <t>海外</t>
  </si>
  <si>
    <t>製品B</t>
  </si>
  <si>
    <t>04_事業計画</t>
  </si>
  <si>
    <t>2026年3月期</t>
  </si>
  <si>
    <t>2027年3月期</t>
  </si>
  <si>
    <t>2028年3月期</t>
  </si>
  <si>
    <t>2029年3月期</t>
  </si>
  <si>
    <t>2030年3月期</t>
  </si>
  <si>
    <t>販売数量計画からの積上げは10,700</t>
  </si>
  <si>
    <t>設備投資</t>
  </si>
  <si>
    <t>設備稼働率と整合確認</t>
  </si>
  <si>
    <t>05_固定資産台帳</t>
  </si>
  <si>
    <t>資産番号</t>
  </si>
  <si>
    <t>資産名</t>
  </si>
  <si>
    <t>取得価額</t>
  </si>
  <si>
    <t>累計償却</t>
  </si>
  <si>
    <t>当期増減</t>
  </si>
  <si>
    <t>期末帳簿価額</t>
  </si>
  <si>
    <t>試算表差額</t>
  </si>
  <si>
    <t>FA-001</t>
  </si>
  <si>
    <t>本社工場</t>
  </si>
  <si>
    <t>FA-002</t>
  </si>
  <si>
    <t>製造設備A</t>
  </si>
  <si>
    <t>FA-003</t>
  </si>
  <si>
    <t>製造設備B</t>
  </si>
  <si>
    <t>FA-004</t>
  </si>
  <si>
    <t>工具器具備品</t>
  </si>
  <si>
    <t>台帳合計</t>
  </si>
  <si>
    <t>06_借入金明細</t>
  </si>
  <si>
    <t>金融機関</t>
  </si>
  <si>
    <t>契約番号</t>
  </si>
  <si>
    <t>金利</t>
  </si>
  <si>
    <t>返済期限</t>
  </si>
  <si>
    <t>約定返済</t>
  </si>
  <si>
    <t>期末残高</t>
  </si>
  <si>
    <t>A銀行</t>
  </si>
  <si>
    <t>TL-01</t>
  </si>
  <si>
    <t>2029/03/31</t>
  </si>
  <si>
    <t>B銀行</t>
  </si>
  <si>
    <t>TL-02</t>
  </si>
  <si>
    <t>2027/03/31</t>
  </si>
  <si>
    <t>明細合計</t>
  </si>
  <si>
    <t>07_運転資本明細</t>
  </si>
  <si>
    <t>区分</t>
  </si>
  <si>
    <t>相手先・品目</t>
  </si>
  <si>
    <t>契約条件</t>
  </si>
  <si>
    <t>実績日数</t>
  </si>
  <si>
    <t>売掛金</t>
  </si>
  <si>
    <t>主要顧客合計</t>
  </si>
  <si>
    <t>月末締め翌月末</t>
  </si>
  <si>
    <t>検収時期を含む</t>
  </si>
  <si>
    <t>棚卸資産</t>
  </si>
  <si>
    <t>原材料・仕掛品・製品</t>
  </si>
  <si>
    <t>安全在庫2か月</t>
  </si>
  <si>
    <t>滞留在庫を確認</t>
  </si>
  <si>
    <t>買掛金</t>
  </si>
  <si>
    <t>主要仕入先合計</t>
  </si>
  <si>
    <t>材料費を基礎</t>
  </si>
  <si>
    <t>08_資料管理</t>
  </si>
  <si>
    <t>資料番号</t>
  </si>
  <si>
    <t>資料名</t>
  </si>
  <si>
    <t>基準日</t>
  </si>
  <si>
    <t>入手元</t>
  </si>
  <si>
    <t>使用先</t>
  </si>
  <si>
    <t>差異・不足</t>
  </si>
  <si>
    <t>状況</t>
  </si>
  <si>
    <t>担当者</t>
  </si>
  <si>
    <t>S-01</t>
  </si>
  <si>
    <t>月次試算表</t>
  </si>
  <si>
    <t>経理部</t>
  </si>
  <si>
    <t>03_実績財務諸表</t>
  </si>
  <si>
    <t>なし</t>
  </si>
  <si>
    <t>確認済</t>
  </si>
  <si>
    <t>モデル担当</t>
  </si>
  <si>
    <t>S-02</t>
  </si>
  <si>
    <t>固定資産台帳</t>
  </si>
  <si>
    <t>10_固定資産</t>
  </si>
  <si>
    <t>試算表より60少ない</t>
  </si>
  <si>
    <t>要確認</t>
  </si>
  <si>
    <t>S-03</t>
  </si>
  <si>
    <t>借入金明細</t>
  </si>
  <si>
    <t>財務部</t>
  </si>
  <si>
    <t>11_借入金</t>
  </si>
  <si>
    <t>試算表より50少ない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</si>
</sst>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Yu Gothic"/>
    </font>
    <font>
      <color rgb="FF147D73"/>
      <name val="Yu Gothic"/>
    </font>
    <font>
      <sz val="10"/>
      <name val="Yu Gothic"/>
    </font>
    <font>
      <color rgb="FFFFFFFF"/>
      <sz val="10"/>
      <name val="Yu Gothic"/>
    </font>
  </fonts>
  <fills count="5">
    <fill>
      <patternFill patternType="none"/>
    </fill>
    <fill>
      <patternFill patternType="gray125"/>
    </fill>
    <fill>
      <patternFill patternType="solid">
        <fgColor rgb="FF102235"/>
      </patternFill>
    </fill>
    <fill>
      <patternFill patternType="solid">
        <fgColor rgb="FF147D7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8E0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164" fontId="3" fillId="4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14" width="16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3" t="s">
        <v>2</v>
      </c>
      <c r="B3" s="3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4" t="s">
        <v>4</v>
      </c>
      <c r="B4" s="4" t="s">
        <v>5</v>
      </c>
      <c r="C4" s="4" t="s">
        <v>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3" t="s">
        <v>7</v>
      </c>
      <c r="B5" s="3" t="s">
        <v>8</v>
      </c>
      <c r="C5" s="3" t="s">
        <v>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3" t="s">
        <v>10</v>
      </c>
      <c r="B6" s="3" t="s">
        <v>11</v>
      </c>
      <c r="C6" s="3" t="s">
        <v>12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3" t="s">
        <v>13</v>
      </c>
      <c r="B7" s="3" t="s">
        <v>14</v>
      </c>
      <c r="C7" s="3" t="s">
        <v>15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</sheetData>
  <mergeCells count="2">
    <mergeCell ref="A1:N1"/>
    <mergeCell ref="A2:N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14" width="16" customWidth="1"/>
  </cols>
  <sheetData>
    <row r="1" spans="1:14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  <c r="I4" s="4" t="s">
        <v>25</v>
      </c>
      <c r="J4" s="4" t="s">
        <v>26</v>
      </c>
      <c r="K4" s="4" t="s">
        <v>27</v>
      </c>
      <c r="L4" s="4" t="s">
        <v>28</v>
      </c>
      <c r="M4" s="4" t="s">
        <v>29</v>
      </c>
      <c r="N4" s="4" t="s">
        <v>30</v>
      </c>
    </row>
    <row r="5" spans="1:1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3" t="s">
        <v>31</v>
      </c>
      <c r="B6" s="3">
        <v>780</v>
      </c>
      <c r="C6" s="3">
        <v>790</v>
      </c>
      <c r="D6" s="3">
        <v>800</v>
      </c>
      <c r="E6" s="3">
        <v>810</v>
      </c>
      <c r="F6" s="3">
        <v>820</v>
      </c>
      <c r="G6" s="3">
        <v>830</v>
      </c>
      <c r="H6" s="3">
        <v>840</v>
      </c>
      <c r="I6" s="3">
        <v>850</v>
      </c>
      <c r="J6" s="3">
        <v>860</v>
      </c>
      <c r="K6" s="3">
        <v>870</v>
      </c>
      <c r="L6" s="3">
        <v>880</v>
      </c>
      <c r="M6" s="3">
        <v>870</v>
      </c>
      <c r="N6" s="5">
        <f>SUM(B6:M6)</f>
        <v>10000</v>
      </c>
    </row>
    <row r="7" spans="1:14" x14ac:dyDescent="0.25">
      <c r="A7" s="3" t="s">
        <v>32</v>
      </c>
      <c r="B7" s="3">
        <v>546</v>
      </c>
      <c r="C7" s="3">
        <v>553</v>
      </c>
      <c r="D7" s="3">
        <v>560</v>
      </c>
      <c r="E7" s="3">
        <v>567</v>
      </c>
      <c r="F7" s="3">
        <v>574</v>
      </c>
      <c r="G7" s="3">
        <v>581</v>
      </c>
      <c r="H7" s="3">
        <v>588</v>
      </c>
      <c r="I7" s="3">
        <v>595</v>
      </c>
      <c r="J7" s="3">
        <v>602</v>
      </c>
      <c r="K7" s="3">
        <v>609</v>
      </c>
      <c r="L7" s="3">
        <v>616</v>
      </c>
      <c r="M7" s="3">
        <v>609</v>
      </c>
      <c r="N7" s="5">
        <f>SUM(B7:M7)</f>
        <v>7000</v>
      </c>
    </row>
    <row r="8" spans="1:14" x14ac:dyDescent="0.25">
      <c r="A8" s="3" t="s">
        <v>33</v>
      </c>
      <c r="B8" s="3">
        <v>150</v>
      </c>
      <c r="C8" s="3">
        <v>150</v>
      </c>
      <c r="D8" s="3">
        <v>150</v>
      </c>
      <c r="E8" s="3">
        <v>150</v>
      </c>
      <c r="F8" s="3">
        <v>150</v>
      </c>
      <c r="G8" s="3">
        <v>150</v>
      </c>
      <c r="H8" s="3">
        <v>150</v>
      </c>
      <c r="I8" s="3">
        <v>150</v>
      </c>
      <c r="J8" s="3">
        <v>150</v>
      </c>
      <c r="K8" s="3">
        <v>150</v>
      </c>
      <c r="L8" s="3">
        <v>150</v>
      </c>
      <c r="M8" s="3">
        <v>150</v>
      </c>
      <c r="N8" s="5">
        <f>SUM(B8:M8)</f>
        <v>1800</v>
      </c>
    </row>
    <row r="9" spans="1:14" x14ac:dyDescent="0.25">
      <c r="A9" s="3" t="s">
        <v>34</v>
      </c>
      <c r="B9" s="3">
        <v>25</v>
      </c>
      <c r="C9" s="3">
        <v>25</v>
      </c>
      <c r="D9" s="3">
        <v>25</v>
      </c>
      <c r="E9" s="3">
        <v>25</v>
      </c>
      <c r="F9" s="3">
        <v>25</v>
      </c>
      <c r="G9" s="3">
        <v>25</v>
      </c>
      <c r="H9" s="3">
        <v>25</v>
      </c>
      <c r="I9" s="3">
        <v>25</v>
      </c>
      <c r="J9" s="3">
        <v>25</v>
      </c>
      <c r="K9" s="3">
        <v>25</v>
      </c>
      <c r="L9" s="3">
        <v>25</v>
      </c>
      <c r="M9" s="3">
        <v>25</v>
      </c>
      <c r="N9" s="5">
        <f>SUM(B9:M9)</f>
        <v>300</v>
      </c>
    </row>
    <row r="10" spans="1:14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</sheetData>
  <mergeCells count="2">
    <mergeCell ref="A1:N1"/>
    <mergeCell ref="A2:N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14" width="16" customWidth="1"/>
  </cols>
  <sheetData>
    <row r="1" spans="1:14" x14ac:dyDescent="0.25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4" t="s">
        <v>36</v>
      </c>
      <c r="B4" s="4" t="s">
        <v>37</v>
      </c>
      <c r="C4" s="4" t="s">
        <v>17</v>
      </c>
      <c r="D4" s="4" t="s">
        <v>38</v>
      </c>
      <c r="E4" s="4" t="s">
        <v>39</v>
      </c>
      <c r="F4" s="4" t="s">
        <v>40</v>
      </c>
      <c r="G4" s="4" t="s">
        <v>41</v>
      </c>
      <c r="H4" s="3"/>
      <c r="I4" s="3"/>
      <c r="J4" s="3"/>
      <c r="K4" s="3"/>
      <c r="L4" s="3"/>
      <c r="M4" s="3"/>
      <c r="N4" s="3"/>
    </row>
    <row r="5" spans="1:14" x14ac:dyDescent="0.25">
      <c r="A5" s="3" t="s">
        <v>42</v>
      </c>
      <c r="B5" s="3" t="s">
        <v>43</v>
      </c>
      <c r="C5" s="3" t="s">
        <v>44</v>
      </c>
      <c r="D5" s="3" t="s">
        <v>45</v>
      </c>
      <c r="E5" s="3">
        <v>120</v>
      </c>
      <c r="F5" s="3">
        <v>0</v>
      </c>
      <c r="G5" s="3" t="s">
        <v>46</v>
      </c>
      <c r="H5" s="3"/>
      <c r="I5" s="3"/>
      <c r="J5" s="3"/>
      <c r="K5" s="3"/>
      <c r="L5" s="3"/>
      <c r="M5" s="3"/>
      <c r="N5" s="3"/>
    </row>
    <row r="6" spans="1:14" x14ac:dyDescent="0.25">
      <c r="A6" s="3" t="s">
        <v>42</v>
      </c>
      <c r="B6" s="3" t="s">
        <v>47</v>
      </c>
      <c r="C6" s="3" t="s">
        <v>48</v>
      </c>
      <c r="D6" s="3" t="s">
        <v>49</v>
      </c>
      <c r="E6" s="3">
        <v>80</v>
      </c>
      <c r="F6" s="3">
        <v>0</v>
      </c>
      <c r="G6" s="3" t="s">
        <v>50</v>
      </c>
      <c r="H6" s="3"/>
      <c r="I6" s="3"/>
      <c r="J6" s="3"/>
      <c r="K6" s="3"/>
      <c r="L6" s="3"/>
      <c r="M6" s="3"/>
      <c r="N6" s="3"/>
    </row>
    <row r="7" spans="1:14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</sheetData>
  <mergeCells count="2">
    <mergeCell ref="A1:N1"/>
    <mergeCell ref="A2:N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14" width="16" customWidth="1"/>
  </cols>
  <sheetData>
    <row r="1" spans="1:14" x14ac:dyDescent="0.25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4" t="s">
        <v>52</v>
      </c>
      <c r="B4" s="4" t="s">
        <v>53</v>
      </c>
      <c r="C4" s="4" t="s">
        <v>54</v>
      </c>
      <c r="D4" s="4" t="s">
        <v>55</v>
      </c>
      <c r="E4" s="4" t="s">
        <v>31</v>
      </c>
      <c r="F4" s="4" t="s">
        <v>56</v>
      </c>
      <c r="G4" s="3"/>
      <c r="H4" s="3"/>
      <c r="I4" s="3"/>
      <c r="J4" s="3"/>
      <c r="K4" s="3"/>
      <c r="L4" s="3"/>
      <c r="M4" s="3"/>
      <c r="N4" s="3"/>
    </row>
    <row r="5" spans="1:14" x14ac:dyDescent="0.25">
      <c r="A5" s="3" t="s">
        <v>57</v>
      </c>
      <c r="B5" s="3" t="s">
        <v>58</v>
      </c>
      <c r="C5" s="3">
        <v>500</v>
      </c>
      <c r="D5" s="3">
        <v>10</v>
      </c>
      <c r="E5" s="3">
        <v>5000</v>
      </c>
      <c r="F5" s="5">
        <f>E5/SUM($E$5:$E$8)</f>
        <v>0.5</v>
      </c>
      <c r="G5" s="3"/>
      <c r="H5" s="3"/>
      <c r="I5" s="3"/>
      <c r="J5" s="3"/>
      <c r="K5" s="3"/>
      <c r="L5" s="3"/>
      <c r="M5" s="3"/>
      <c r="N5" s="3"/>
    </row>
    <row r="6" spans="1:14" x14ac:dyDescent="0.25">
      <c r="A6" s="3" t="s">
        <v>57</v>
      </c>
      <c r="B6" s="3" t="s">
        <v>59</v>
      </c>
      <c r="C6" s="3">
        <v>200</v>
      </c>
      <c r="D6" s="3">
        <v>10</v>
      </c>
      <c r="E6" s="3">
        <v>2000</v>
      </c>
      <c r="F6" s="5">
        <f>E6/SUM($E$5:$E$8)</f>
        <v>0.2</v>
      </c>
      <c r="G6" s="3"/>
      <c r="H6" s="3"/>
      <c r="I6" s="3"/>
      <c r="J6" s="3"/>
      <c r="K6" s="3"/>
      <c r="L6" s="3"/>
      <c r="M6" s="3"/>
      <c r="N6" s="3"/>
    </row>
    <row r="7" spans="1:14" x14ac:dyDescent="0.25">
      <c r="A7" s="3" t="s">
        <v>60</v>
      </c>
      <c r="B7" s="3" t="s">
        <v>58</v>
      </c>
      <c r="C7" s="3">
        <v>100</v>
      </c>
      <c r="D7" s="3">
        <v>20</v>
      </c>
      <c r="E7" s="3">
        <v>2000</v>
      </c>
      <c r="F7" s="5">
        <f>E7/SUM($E$5:$E$8)</f>
        <v>0.2</v>
      </c>
      <c r="G7" s="3"/>
      <c r="H7" s="3"/>
      <c r="I7" s="3"/>
      <c r="J7" s="3"/>
      <c r="K7" s="3"/>
      <c r="L7" s="3"/>
      <c r="M7" s="3"/>
      <c r="N7" s="3"/>
    </row>
    <row r="8" spans="1:14" x14ac:dyDescent="0.25">
      <c r="A8" s="3" t="s">
        <v>60</v>
      </c>
      <c r="B8" s="3" t="s">
        <v>59</v>
      </c>
      <c r="C8" s="3">
        <v>50</v>
      </c>
      <c r="D8" s="3">
        <v>20</v>
      </c>
      <c r="E8" s="3">
        <v>1000</v>
      </c>
      <c r="F8" s="5">
        <f>E8/SUM($E$5:$E$8)</f>
        <v>0.1</v>
      </c>
      <c r="G8" s="3"/>
      <c r="H8" s="3"/>
      <c r="I8" s="3"/>
      <c r="J8" s="3"/>
      <c r="K8" s="3"/>
      <c r="L8" s="3"/>
      <c r="M8" s="3"/>
      <c r="N8" s="3"/>
    </row>
    <row r="9" spans="1:14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</sheetData>
  <mergeCells count="2">
    <mergeCell ref="A1:N1"/>
    <mergeCell ref="A2:N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14" width="16" customWidth="1"/>
  </cols>
  <sheetData>
    <row r="1" spans="1:14" x14ac:dyDescent="0.25">
      <c r="A1" s="1" t="s">
        <v>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4" t="s">
        <v>4</v>
      </c>
      <c r="B4" s="4" t="s">
        <v>62</v>
      </c>
      <c r="C4" s="4" t="s">
        <v>63</v>
      </c>
      <c r="D4" s="4" t="s">
        <v>64</v>
      </c>
      <c r="E4" s="4" t="s">
        <v>65</v>
      </c>
      <c r="F4" s="4" t="s">
        <v>66</v>
      </c>
      <c r="G4" s="4" t="s">
        <v>41</v>
      </c>
      <c r="H4" s="3"/>
      <c r="I4" s="3"/>
      <c r="J4" s="3"/>
      <c r="K4" s="3"/>
      <c r="L4" s="3"/>
      <c r="M4" s="3"/>
      <c r="N4" s="3"/>
    </row>
    <row r="5" spans="1:14" x14ac:dyDescent="0.25">
      <c r="A5" s="3" t="s">
        <v>31</v>
      </c>
      <c r="B5" s="3">
        <v>10800</v>
      </c>
      <c r="C5" s="3">
        <v>11500</v>
      </c>
      <c r="D5" s="3">
        <v>12200</v>
      </c>
      <c r="E5" s="3">
        <v>12800</v>
      </c>
      <c r="F5" s="3">
        <v>13400</v>
      </c>
      <c r="G5" s="3" t="s">
        <v>67</v>
      </c>
      <c r="H5" s="3"/>
      <c r="I5" s="3"/>
      <c r="J5" s="3"/>
      <c r="K5" s="3"/>
      <c r="L5" s="3"/>
      <c r="M5" s="3"/>
      <c r="N5" s="3"/>
    </row>
    <row r="6" spans="1:14" x14ac:dyDescent="0.25">
      <c r="A6" s="3" t="s">
        <v>68</v>
      </c>
      <c r="B6" s="3">
        <v>650</v>
      </c>
      <c r="C6" s="3">
        <v>700</v>
      </c>
      <c r="D6" s="3">
        <v>650</v>
      </c>
      <c r="E6" s="3">
        <v>600</v>
      </c>
      <c r="F6" s="3">
        <v>600</v>
      </c>
      <c r="G6" s="3" t="s">
        <v>69</v>
      </c>
      <c r="H6" s="3"/>
      <c r="I6" s="3"/>
      <c r="J6" s="3"/>
      <c r="K6" s="3"/>
      <c r="L6" s="3"/>
      <c r="M6" s="3"/>
      <c r="N6" s="3"/>
    </row>
    <row r="7" spans="1:14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</sheetData>
  <mergeCells count="2">
    <mergeCell ref="A1:N1"/>
    <mergeCell ref="A2:N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14" width="16" customWidth="1"/>
  </cols>
  <sheetData>
    <row r="1" spans="1:14" x14ac:dyDescent="0.25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4" t="s">
        <v>71</v>
      </c>
      <c r="B4" s="4" t="s">
        <v>72</v>
      </c>
      <c r="C4" s="4" t="s">
        <v>73</v>
      </c>
      <c r="D4" s="4" t="s">
        <v>74</v>
      </c>
      <c r="E4" s="4" t="s">
        <v>75</v>
      </c>
      <c r="F4" s="4" t="s">
        <v>76</v>
      </c>
      <c r="G4" s="4" t="s">
        <v>77</v>
      </c>
      <c r="H4" s="3"/>
      <c r="I4" s="3"/>
      <c r="J4" s="3"/>
      <c r="K4" s="3"/>
      <c r="L4" s="3"/>
      <c r="M4" s="3"/>
      <c r="N4" s="3"/>
    </row>
    <row r="5" spans="1:1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25">
      <c r="A8" s="3" t="s">
        <v>78</v>
      </c>
      <c r="B8" s="3" t="s">
        <v>79</v>
      </c>
      <c r="C8" s="3">
        <v>2000</v>
      </c>
      <c r="D8" s="3">
        <v>700</v>
      </c>
      <c r="E8" s="3">
        <v>0</v>
      </c>
      <c r="F8" s="3">
        <v>1300</v>
      </c>
      <c r="G8" s="3">
        <v>0</v>
      </c>
      <c r="H8" s="3"/>
      <c r="I8" s="3"/>
      <c r="J8" s="3"/>
      <c r="K8" s="3"/>
      <c r="L8" s="3"/>
      <c r="M8" s="3"/>
      <c r="N8" s="3"/>
    </row>
    <row r="9" spans="1:14" x14ac:dyDescent="0.25">
      <c r="A9" s="3" t="s">
        <v>80</v>
      </c>
      <c r="B9" s="3" t="s">
        <v>81</v>
      </c>
      <c r="C9" s="3">
        <v>1500</v>
      </c>
      <c r="D9" s="3">
        <v>700</v>
      </c>
      <c r="E9" s="3">
        <v>100</v>
      </c>
      <c r="F9" s="3">
        <v>900</v>
      </c>
      <c r="G9" s="3">
        <v>0</v>
      </c>
      <c r="H9" s="3"/>
      <c r="I9" s="3"/>
      <c r="J9" s="3"/>
      <c r="K9" s="3"/>
      <c r="L9" s="3"/>
      <c r="M9" s="3"/>
      <c r="N9" s="3"/>
    </row>
    <row r="10" spans="1:14" x14ac:dyDescent="0.25">
      <c r="A10" s="3" t="s">
        <v>82</v>
      </c>
      <c r="B10" s="3" t="s">
        <v>83</v>
      </c>
      <c r="C10" s="3">
        <v>1200</v>
      </c>
      <c r="D10" s="3">
        <v>600</v>
      </c>
      <c r="E10" s="3">
        <v>40</v>
      </c>
      <c r="F10" s="3">
        <v>640</v>
      </c>
      <c r="G10" s="3">
        <v>0</v>
      </c>
      <c r="H10" s="3"/>
      <c r="I10" s="3"/>
      <c r="J10" s="3"/>
      <c r="K10" s="3"/>
      <c r="L10" s="3"/>
      <c r="M10" s="3"/>
      <c r="N10" s="3"/>
    </row>
    <row r="11" spans="1:14" x14ac:dyDescent="0.25">
      <c r="A11" s="3" t="s">
        <v>84</v>
      </c>
      <c r="B11" s="3" t="s">
        <v>85</v>
      </c>
      <c r="C11" s="3">
        <v>300</v>
      </c>
      <c r="D11" s="3">
        <v>200</v>
      </c>
      <c r="E11" s="3">
        <v>0</v>
      </c>
      <c r="F11" s="3">
        <v>100</v>
      </c>
      <c r="G11" s="3">
        <v>0</v>
      </c>
      <c r="H11" s="3"/>
      <c r="I11" s="3"/>
      <c r="J11" s="3"/>
      <c r="K11" s="3"/>
      <c r="L11" s="3"/>
      <c r="M11" s="3"/>
      <c r="N11" s="3"/>
    </row>
    <row r="12" spans="1:14" x14ac:dyDescent="0.25">
      <c r="A12" s="3" t="s">
        <v>86</v>
      </c>
      <c r="B12" s="3"/>
      <c r="C12" s="3"/>
      <c r="D12" s="3"/>
      <c r="E12" s="3"/>
      <c r="F12" s="5">
        <f>SUM(F8:F11)</f>
        <v>2940</v>
      </c>
      <c r="G12" s="3">
        <v>-60</v>
      </c>
      <c r="H12" s="3"/>
      <c r="I12" s="3"/>
      <c r="J12" s="3"/>
      <c r="K12" s="3"/>
      <c r="L12" s="3"/>
      <c r="M12" s="3"/>
      <c r="N12" s="3"/>
    </row>
  </sheetData>
  <mergeCells count="2">
    <mergeCell ref="A1:N1"/>
    <mergeCell ref="A2:N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14" width="16" customWidth="1"/>
  </cols>
  <sheetData>
    <row r="1" spans="1:14" x14ac:dyDescent="0.25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4" t="s">
        <v>88</v>
      </c>
      <c r="B4" s="4" t="s">
        <v>89</v>
      </c>
      <c r="C4" s="4" t="s">
        <v>90</v>
      </c>
      <c r="D4" s="4" t="s">
        <v>91</v>
      </c>
      <c r="E4" s="4" t="s">
        <v>92</v>
      </c>
      <c r="F4" s="4" t="s">
        <v>93</v>
      </c>
      <c r="G4" s="4" t="s">
        <v>77</v>
      </c>
      <c r="H4" s="3"/>
      <c r="I4" s="3"/>
      <c r="J4" s="3"/>
      <c r="K4" s="3"/>
      <c r="L4" s="3"/>
      <c r="M4" s="3"/>
      <c r="N4" s="3"/>
    </row>
    <row r="5" spans="1:1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3" t="s">
        <v>94</v>
      </c>
      <c r="B6" s="3" t="s">
        <v>95</v>
      </c>
      <c r="C6" s="3">
        <v>0.012</v>
      </c>
      <c r="D6" s="3" t="s">
        <v>96</v>
      </c>
      <c r="E6" s="3">
        <v>200</v>
      </c>
      <c r="F6" s="3">
        <v>1200</v>
      </c>
      <c r="G6" s="3">
        <v>0</v>
      </c>
      <c r="H6" s="3"/>
      <c r="I6" s="3"/>
      <c r="J6" s="3"/>
      <c r="K6" s="3"/>
      <c r="L6" s="3"/>
      <c r="M6" s="3"/>
      <c r="N6" s="3"/>
    </row>
    <row r="7" spans="1:14" x14ac:dyDescent="0.25">
      <c r="A7" s="3" t="s">
        <v>97</v>
      </c>
      <c r="B7" s="3" t="s">
        <v>98</v>
      </c>
      <c r="C7" s="3">
        <v>0.015</v>
      </c>
      <c r="D7" s="3" t="s">
        <v>99</v>
      </c>
      <c r="E7" s="3">
        <v>150</v>
      </c>
      <c r="F7" s="3">
        <v>750</v>
      </c>
      <c r="G7" s="3">
        <v>0</v>
      </c>
      <c r="H7" s="3"/>
      <c r="I7" s="3"/>
      <c r="J7" s="3"/>
      <c r="K7" s="3"/>
      <c r="L7" s="3"/>
      <c r="M7" s="3"/>
      <c r="N7" s="3"/>
    </row>
    <row r="8" spans="1:14" x14ac:dyDescent="0.25">
      <c r="A8" s="3" t="s">
        <v>100</v>
      </c>
      <c r="B8" s="3"/>
      <c r="C8" s="3"/>
      <c r="D8" s="3"/>
      <c r="E8" s="3"/>
      <c r="F8" s="5">
        <f>SUM(F6:F7)</f>
        <v>1950</v>
      </c>
      <c r="G8" s="3">
        <v>-50</v>
      </c>
      <c r="H8" s="3"/>
      <c r="I8" s="3"/>
      <c r="J8" s="3"/>
      <c r="K8" s="3"/>
      <c r="L8" s="3"/>
      <c r="M8" s="3"/>
      <c r="N8" s="3"/>
    </row>
    <row r="9" spans="1:14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</sheetData>
  <mergeCells count="2">
    <mergeCell ref="A1:N1"/>
    <mergeCell ref="A2:N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14" width="16" customWidth="1"/>
  </cols>
  <sheetData>
    <row r="1" spans="1:14" x14ac:dyDescent="0.2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4" t="s">
        <v>102</v>
      </c>
      <c r="B4" s="4" t="s">
        <v>103</v>
      </c>
      <c r="C4" s="4" t="s">
        <v>93</v>
      </c>
      <c r="D4" s="4" t="s">
        <v>104</v>
      </c>
      <c r="E4" s="4" t="s">
        <v>105</v>
      </c>
      <c r="F4" s="4" t="s">
        <v>41</v>
      </c>
      <c r="G4" s="3"/>
      <c r="H4" s="3"/>
      <c r="I4" s="3"/>
      <c r="J4" s="3"/>
      <c r="K4" s="3"/>
      <c r="L4" s="3"/>
      <c r="M4" s="3"/>
      <c r="N4" s="3"/>
    </row>
    <row r="5" spans="1:14" x14ac:dyDescent="0.25">
      <c r="A5" s="3" t="s">
        <v>106</v>
      </c>
      <c r="B5" s="3" t="s">
        <v>107</v>
      </c>
      <c r="C5" s="3">
        <v>1500</v>
      </c>
      <c r="D5" s="3" t="s">
        <v>108</v>
      </c>
      <c r="E5" s="3">
        <v>55</v>
      </c>
      <c r="F5" s="3" t="s">
        <v>109</v>
      </c>
      <c r="G5" s="3"/>
      <c r="H5" s="3"/>
      <c r="I5" s="3"/>
      <c r="J5" s="3"/>
      <c r="K5" s="3"/>
      <c r="L5" s="3"/>
      <c r="M5" s="3"/>
      <c r="N5" s="3"/>
    </row>
    <row r="6" spans="1:14" x14ac:dyDescent="0.25">
      <c r="A6" s="3" t="s">
        <v>110</v>
      </c>
      <c r="B6" s="3" t="s">
        <v>111</v>
      </c>
      <c r="C6" s="3">
        <v>1200</v>
      </c>
      <c r="D6" s="3" t="s">
        <v>112</v>
      </c>
      <c r="E6" s="3">
        <v>63</v>
      </c>
      <c r="F6" s="3" t="s">
        <v>113</v>
      </c>
      <c r="G6" s="3"/>
      <c r="H6" s="3"/>
      <c r="I6" s="3"/>
      <c r="J6" s="3"/>
      <c r="K6" s="3"/>
      <c r="L6" s="3"/>
      <c r="M6" s="3"/>
      <c r="N6" s="3"/>
    </row>
    <row r="7" spans="1:14" x14ac:dyDescent="0.25">
      <c r="A7" s="3" t="s">
        <v>114</v>
      </c>
      <c r="B7" s="3" t="s">
        <v>115</v>
      </c>
      <c r="C7" s="3">
        <v>900</v>
      </c>
      <c r="D7" s="3" t="s">
        <v>108</v>
      </c>
      <c r="E7" s="3">
        <v>47</v>
      </c>
      <c r="F7" s="3" t="s">
        <v>116</v>
      </c>
      <c r="G7" s="3"/>
      <c r="H7" s="3"/>
      <c r="I7" s="3"/>
      <c r="J7" s="3"/>
      <c r="K7" s="3"/>
      <c r="L7" s="3"/>
      <c r="M7" s="3"/>
      <c r="N7" s="3"/>
    </row>
    <row r="8" spans="1:14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</sheetData>
  <mergeCells count="2">
    <mergeCell ref="A1:N1"/>
    <mergeCell ref="A2:N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14" width="16" customWidth="1"/>
  </cols>
  <sheetData>
    <row r="1" spans="1:14" x14ac:dyDescent="0.25">
      <c r="A1" s="1" t="s">
        <v>117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4" t="s">
        <v>118</v>
      </c>
      <c r="B4" s="4" t="s">
        <v>119</v>
      </c>
      <c r="C4" s="4" t="s">
        <v>120</v>
      </c>
      <c r="D4" s="4" t="s">
        <v>121</v>
      </c>
      <c r="E4" s="4" t="s">
        <v>122</v>
      </c>
      <c r="F4" s="4" t="s">
        <v>123</v>
      </c>
      <c r="G4" s="4" t="s">
        <v>124</v>
      </c>
      <c r="H4" s="4" t="s">
        <v>125</v>
      </c>
      <c r="I4" s="3"/>
      <c r="J4" s="3"/>
      <c r="K4" s="3"/>
      <c r="L4" s="3"/>
      <c r="M4" s="3"/>
      <c r="N4" s="3"/>
    </row>
    <row r="5" spans="1:14" x14ac:dyDescent="0.25">
      <c r="A5" s="3" t="s">
        <v>126</v>
      </c>
      <c r="B5" s="3" t="s">
        <v>127</v>
      </c>
      <c r="C5" s="3" t="s">
        <v>42</v>
      </c>
      <c r="D5" s="3" t="s">
        <v>128</v>
      </c>
      <c r="E5" s="3" t="s">
        <v>129</v>
      </c>
      <c r="F5" s="3" t="s">
        <v>130</v>
      </c>
      <c r="G5" s="3" t="s">
        <v>131</v>
      </c>
      <c r="H5" s="3" t="s">
        <v>132</v>
      </c>
      <c r="I5" s="3"/>
      <c r="J5" s="3"/>
      <c r="K5" s="3"/>
      <c r="L5" s="3"/>
      <c r="M5" s="3"/>
      <c r="N5" s="3"/>
    </row>
    <row r="6" spans="1:14" x14ac:dyDescent="0.25">
      <c r="A6" s="3" t="s">
        <v>133</v>
      </c>
      <c r="B6" s="3" t="s">
        <v>134</v>
      </c>
      <c r="C6" s="3" t="s">
        <v>42</v>
      </c>
      <c r="D6" s="3" t="s">
        <v>128</v>
      </c>
      <c r="E6" s="3" t="s">
        <v>135</v>
      </c>
      <c r="F6" s="3" t="s">
        <v>136</v>
      </c>
      <c r="G6" s="3" t="s">
        <v>137</v>
      </c>
      <c r="H6" s="3" t="s">
        <v>128</v>
      </c>
      <c r="I6" s="3"/>
      <c r="J6" s="3"/>
      <c r="K6" s="3"/>
      <c r="L6" s="3"/>
      <c r="M6" s="3"/>
      <c r="N6" s="3"/>
    </row>
    <row r="7" spans="1:14" x14ac:dyDescent="0.25">
      <c r="A7" s="3" t="s">
        <v>138</v>
      </c>
      <c r="B7" s="3" t="s">
        <v>139</v>
      </c>
      <c r="C7" s="3" t="s">
        <v>42</v>
      </c>
      <c r="D7" s="3" t="s">
        <v>140</v>
      </c>
      <c r="E7" s="3" t="s">
        <v>141</v>
      </c>
      <c r="F7" s="3" t="s">
        <v>142</v>
      </c>
      <c r="G7" s="3" t="s">
        <v>137</v>
      </c>
      <c r="H7" s="3" t="s">
        <v>140</v>
      </c>
      <c r="I7" s="3"/>
      <c r="J7" s="3"/>
      <c r="K7" s="3"/>
      <c r="L7" s="3"/>
      <c r="M7" s="3"/>
      <c r="N7" s="3"/>
    </row>
    <row r="8" spans="1:14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</sheetData>
  <mergeCells count="2">
    <mergeCell ref="A1:N1"/>
    <mergeCell ref="A2:N2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00_使い方</vt:lpstr>
      <vt:lpstr>01_月次試算表</vt:lpstr>
      <vt:lpstr>02_勘定科目明細</vt:lpstr>
      <vt:lpstr>03_販売実績</vt:lpstr>
      <vt:lpstr>04_事業計画</vt:lpstr>
      <vt:lpstr>05_固定資産台帳</vt:lpstr>
      <vt:lpstr>06_借入金明細</vt:lpstr>
      <vt:lpstr>07_運転資本明細</vt:lpstr>
      <vt:lpstr>08_資料管理</vt:lpstr>
    </vt:vector>
  </TitlesOfParts>
  <Company>Finance Modeling Lab 編集部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Modeling Lab 編集部</dc:creator>
  <dc:title/>
  <dc:subject/>
  <dc:description/>
  <cp:keywords/>
  <cp:category/>
  <cp:lastModifiedBy>Unknown</cp:lastModifiedBy>
  <dcterms:created xsi:type="dcterms:W3CDTF">2026-07-25T00:00:00Z</dcterms:created>
  <dcterms:modified xsi:type="dcterms:W3CDTF">2026-07-25T00:00:00Z</dcterms:modified>
</cp:coreProperties>
</file>